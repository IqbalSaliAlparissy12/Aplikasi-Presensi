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New folder\Aplikasi-Presensi\"/>
    </mc:Choice>
  </mc:AlternateContent>
  <xr:revisionPtr revIDLastSave="0" documentId="13_ncr:1_{5D898DE2-FA3F-42DD-BB04-9463825E7360}" xr6:coauthVersionLast="47" xr6:coauthVersionMax="47" xr10:uidLastSave="{00000000-0000-0000-0000-000000000000}"/>
  <bookViews>
    <workbookView xWindow="-110" yWindow="-110" windowWidth="19420" windowHeight="11500" activeTab="2" xr2:uid="{00000000-000D-0000-FFFF-FFFF00000000}"/>
  </bookViews>
  <sheets>
    <sheet name="Jadwal" sheetId="556" r:id="rId1"/>
    <sheet name="Personal" sheetId="553" r:id="rId2"/>
    <sheet name="RecordAbsen" sheetId="550" r:id="rId3"/>
    <sheet name="Bulan" sheetId="24" state="hidden" r:id="rId4"/>
    <sheet name="HariAktif" sheetId="25" state="hidden" r:id="rId5"/>
    <sheet name="Sampel RecordAbsen" sheetId="18" state="hidden" r:id="rId6"/>
  </sheets>
  <functionGroups builtInGroupCount="19"/>
  <externalReferences>
    <externalReference r:id="rId7"/>
  </externalReferences>
  <definedNames>
    <definedName name="Tanggal">[1]!Libur[Libur]</definedName>
    <definedName name="Tanggal_Libur">[1]!Libur[Libur]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25" l="1"/>
  <c r="A5" i="25" s="1"/>
  <c r="C5" i="25" s="1"/>
  <c r="D5" i="25" s="1"/>
  <c r="C2" i="25"/>
  <c r="B5" i="25" l="1"/>
  <c r="A6" i="25"/>
  <c r="A7" i="25" s="1"/>
  <c r="C6" i="25" l="1"/>
  <c r="D6" i="25" s="1"/>
  <c r="B6" i="25"/>
  <c r="A8" i="25"/>
  <c r="C7" i="25"/>
  <c r="D7" i="25" s="1"/>
  <c r="B7" i="25"/>
  <c r="C8" i="25" l="1"/>
  <c r="D8" i="25" s="1"/>
  <c r="B8" i="25"/>
  <c r="A9" i="25"/>
  <c r="B9" i="25" l="1"/>
  <c r="A10" i="25"/>
  <c r="C9" i="25"/>
  <c r="D9" i="25" s="1"/>
  <c r="A11" i="25" l="1"/>
  <c r="C10" i="25"/>
  <c r="D10" i="25" s="1"/>
  <c r="B10" i="25"/>
  <c r="C11" i="25" l="1"/>
  <c r="D11" i="25" s="1"/>
  <c r="B11" i="25"/>
  <c r="A12" i="25"/>
  <c r="C12" i="25" l="1"/>
  <c r="D12" i="25" s="1"/>
  <c r="A13" i="25"/>
  <c r="B12" i="25"/>
  <c r="A14" i="25" l="1"/>
  <c r="B13" i="25"/>
  <c r="C13" i="25"/>
  <c r="D13" i="25" s="1"/>
  <c r="C14" i="25" l="1"/>
  <c r="D14" i="25" s="1"/>
  <c r="A15" i="25"/>
  <c r="B14" i="25"/>
  <c r="A16" i="25" l="1"/>
  <c r="B15" i="25"/>
  <c r="C15" i="25"/>
  <c r="D15" i="25" s="1"/>
  <c r="B16" i="25" l="1"/>
  <c r="A17" i="25"/>
  <c r="C16" i="25"/>
  <c r="D16" i="25" s="1"/>
  <c r="C17" i="25" l="1"/>
  <c r="D17" i="25" s="1"/>
  <c r="A18" i="25"/>
  <c r="B17" i="25"/>
  <c r="C18" i="25" l="1"/>
  <c r="D18" i="25" s="1"/>
  <c r="A19" i="25"/>
  <c r="B18" i="25"/>
  <c r="A20" i="25" l="1"/>
  <c r="C19" i="25"/>
  <c r="D19" i="25" s="1"/>
  <c r="B19" i="25"/>
  <c r="C20" i="25" l="1"/>
  <c r="D20" i="25" s="1"/>
  <c r="B20" i="25"/>
  <c r="A21" i="25"/>
  <c r="C21" i="25" l="1"/>
  <c r="D21" i="25" s="1"/>
  <c r="A22" i="25"/>
  <c r="B21" i="25"/>
  <c r="A23" i="25" l="1"/>
  <c r="C22" i="25"/>
  <c r="D22" i="25" s="1"/>
  <c r="B22" i="25"/>
  <c r="B23" i="25" l="1"/>
  <c r="C23" i="25"/>
  <c r="D23" i="25" s="1"/>
  <c r="A24" i="25"/>
  <c r="A25" i="25" l="1"/>
  <c r="B24" i="25"/>
  <c r="C24" i="25"/>
  <c r="D24" i="25" s="1"/>
  <c r="C25" i="25" l="1"/>
  <c r="D25" i="25" s="1"/>
  <c r="A26" i="25"/>
  <c r="B25" i="25"/>
  <c r="C26" i="25" l="1"/>
  <c r="D26" i="25" s="1"/>
  <c r="A27" i="25"/>
  <c r="B26" i="25"/>
  <c r="C27" i="25" l="1"/>
  <c r="D27" i="25" s="1"/>
  <c r="A28" i="25"/>
  <c r="B27" i="25"/>
  <c r="A29" i="25" l="1"/>
  <c r="C28" i="25"/>
  <c r="D28" i="25" s="1"/>
  <c r="B28" i="25"/>
  <c r="A30" i="25" l="1"/>
  <c r="C29" i="25"/>
  <c r="D29" i="25" s="1"/>
  <c r="B29" i="25"/>
  <c r="C30" i="25" l="1"/>
  <c r="D30" i="25" s="1"/>
  <c r="A31" i="25"/>
  <c r="B30" i="25"/>
  <c r="B31" i="25" l="1"/>
  <c r="A32" i="25"/>
  <c r="C31" i="25"/>
  <c r="D31" i="25" s="1"/>
  <c r="C32" i="25" l="1"/>
  <c r="D32" i="25" s="1"/>
  <c r="A33" i="25"/>
  <c r="B32" i="25"/>
  <c r="C33" i="25" l="1"/>
  <c r="D33" i="25" s="1"/>
  <c r="A34" i="25"/>
  <c r="B33" i="25"/>
  <c r="C34" i="25" l="1"/>
  <c r="D34" i="25" s="1"/>
  <c r="A35" i="25"/>
  <c r="B34" i="25"/>
  <c r="A36" i="25" l="1"/>
  <c r="B35" i="25"/>
  <c r="C35" i="25"/>
  <c r="D35" i="25" s="1"/>
  <c r="A37" i="25" l="1"/>
  <c r="B36" i="25"/>
  <c r="C36" i="25"/>
  <c r="D36" i="25" s="1"/>
  <c r="C37" i="25" l="1"/>
  <c r="D37" i="25" s="1"/>
  <c r="A38" i="25"/>
  <c r="B37" i="25"/>
  <c r="A39" i="25" l="1"/>
  <c r="C38" i="25"/>
  <c r="D38" i="25" s="1"/>
  <c r="B38" i="25"/>
  <c r="A40" i="25" l="1"/>
  <c r="B39" i="25"/>
  <c r="C39" i="25"/>
  <c r="D39" i="25" s="1"/>
  <c r="C40" i="25" l="1"/>
  <c r="D40" i="25" s="1"/>
  <c r="B40" i="25"/>
</calcChain>
</file>

<file path=xl/sharedStrings.xml><?xml version="1.0" encoding="utf-8"?>
<sst xmlns="http://schemas.openxmlformats.org/spreadsheetml/2006/main" count="723" uniqueCount="376">
  <si>
    <t>X</t>
  </si>
  <si>
    <t>1</t>
  </si>
  <si>
    <t>2</t>
  </si>
  <si>
    <t>6</t>
  </si>
  <si>
    <t>06:48</t>
  </si>
  <si>
    <t>8</t>
  </si>
  <si>
    <t>10</t>
  </si>
  <si>
    <t>12</t>
  </si>
  <si>
    <t>17</t>
  </si>
  <si>
    <t>Fa'izah Al Karimah</t>
  </si>
  <si>
    <t>20</t>
  </si>
  <si>
    <t>23</t>
  </si>
  <si>
    <t>25</t>
  </si>
  <si>
    <t>26</t>
  </si>
  <si>
    <t>28</t>
  </si>
  <si>
    <t>30</t>
  </si>
  <si>
    <t>31</t>
  </si>
  <si>
    <t>33</t>
  </si>
  <si>
    <t>36</t>
  </si>
  <si>
    <t>38</t>
  </si>
  <si>
    <t>39</t>
  </si>
  <si>
    <t>40</t>
  </si>
  <si>
    <t>41</t>
  </si>
  <si>
    <t>42</t>
  </si>
  <si>
    <t>NRY</t>
  </si>
  <si>
    <t>22</t>
  </si>
  <si>
    <t>11</t>
  </si>
  <si>
    <t>19</t>
  </si>
  <si>
    <t>Jan</t>
  </si>
  <si>
    <t>Feb</t>
  </si>
  <si>
    <t>Mar</t>
  </si>
  <si>
    <t>Apr</t>
  </si>
  <si>
    <t>Mei</t>
  </si>
  <si>
    <t>Jun</t>
  </si>
  <si>
    <t>Jul</t>
  </si>
  <si>
    <t>Agu</t>
  </si>
  <si>
    <t>Sep</t>
  </si>
  <si>
    <t>Nov</t>
  </si>
  <si>
    <t>Okt</t>
  </si>
  <si>
    <t>Des</t>
  </si>
  <si>
    <t>7</t>
  </si>
  <si>
    <t>16</t>
  </si>
  <si>
    <t>tanggal</t>
  </si>
  <si>
    <t>50</t>
  </si>
  <si>
    <t>32</t>
  </si>
  <si>
    <t>27</t>
  </si>
  <si>
    <t>49</t>
  </si>
  <si>
    <t>57</t>
  </si>
  <si>
    <t xml:space="preserve">Tanggal akhir : </t>
  </si>
  <si>
    <t>Tanggal awal :</t>
  </si>
  <si>
    <t>hari eng</t>
  </si>
  <si>
    <t>Hari ind</t>
  </si>
  <si>
    <t>nilai</t>
  </si>
  <si>
    <t>Laporan Data Transaksi / Record</t>
  </si>
  <si>
    <t>Tanggal :</t>
  </si>
  <si>
    <t>2019-09-26 ~ 2019-09-28</t>
  </si>
  <si>
    <t xml:space="preserve">Di buat tanggal : </t>
  </si>
  <si>
    <t>2019-09-29</t>
  </si>
  <si>
    <t>No. ID :</t>
  </si>
  <si>
    <t>Nama :</t>
  </si>
  <si>
    <t>Sumaryadi, S.Pd.</t>
  </si>
  <si>
    <t xml:space="preserve">Departemen : </t>
  </si>
  <si>
    <t>Nama Perusahaan</t>
  </si>
  <si>
    <t>06:5714:21</t>
  </si>
  <si>
    <t>06:4614:18</t>
  </si>
  <si>
    <t>06:3812:01</t>
  </si>
  <si>
    <t>Nila Farida, S.Ag</t>
  </si>
  <si>
    <t>06:2615:03</t>
  </si>
  <si>
    <t>07:0815:01</t>
  </si>
  <si>
    <t>07:0712:0512:0512:05</t>
  </si>
  <si>
    <t>3</t>
  </si>
  <si>
    <t>Afrida Yuliwanti, SH.I</t>
  </si>
  <si>
    <t>07:0915:00</t>
  </si>
  <si>
    <t>07:1515:17</t>
  </si>
  <si>
    <t>07:0412:49</t>
  </si>
  <si>
    <t>4</t>
  </si>
  <si>
    <t>Afriandi, S.Ag</t>
  </si>
  <si>
    <t>06:5914:08</t>
  </si>
  <si>
    <t>06:5317:47</t>
  </si>
  <si>
    <t>06:5412:00</t>
  </si>
  <si>
    <t>5</t>
  </si>
  <si>
    <t>Musri'ah, S.Sos.I</t>
  </si>
  <si>
    <t>Ridoan NST</t>
  </si>
  <si>
    <t>07:2516:56</t>
  </si>
  <si>
    <t>06:3017:0117:34</t>
  </si>
  <si>
    <t>Nurhayati, S.Pd.I</t>
  </si>
  <si>
    <t>06:5814:08</t>
  </si>
  <si>
    <t>07:0012:04</t>
  </si>
  <si>
    <t>Berta Septilova, S.Pd.</t>
  </si>
  <si>
    <t>07:0714:00</t>
  </si>
  <si>
    <t>07:0514:00</t>
  </si>
  <si>
    <t>06:5912:38</t>
  </si>
  <si>
    <t>9</t>
  </si>
  <si>
    <t>Leily Mar'atus S, S.Pd.</t>
  </si>
  <si>
    <t>07:0915:52</t>
  </si>
  <si>
    <t>07:0616:04</t>
  </si>
  <si>
    <t>07:0712:39</t>
  </si>
  <si>
    <t>Feby Vindhya Restu, S.K</t>
  </si>
  <si>
    <t>07:0614:00</t>
  </si>
  <si>
    <t>06:2414:39</t>
  </si>
  <si>
    <t>07:0012:02</t>
  </si>
  <si>
    <t>Drs. Zulkifli Syahni</t>
  </si>
  <si>
    <t>06:5514:00</t>
  </si>
  <si>
    <t>06:1814:01</t>
  </si>
  <si>
    <t>06:3412:00</t>
  </si>
  <si>
    <t>Adi Harianto, S.Pd.I</t>
  </si>
  <si>
    <t>06:2714:01</t>
  </si>
  <si>
    <t>06:2514:00</t>
  </si>
  <si>
    <t>06:2712:00</t>
  </si>
  <si>
    <t>14</t>
  </si>
  <si>
    <t>Yuniar Ramadhani, S.Sos</t>
  </si>
  <si>
    <t>07:0715:43</t>
  </si>
  <si>
    <t>07:0816:19</t>
  </si>
  <si>
    <t>07:0912:41</t>
  </si>
  <si>
    <t>15</t>
  </si>
  <si>
    <t>Hilal Tawarid, S.Pd.</t>
  </si>
  <si>
    <t>07:1514:2914:30</t>
  </si>
  <si>
    <t>07:1015:30</t>
  </si>
  <si>
    <t>06:2212:30</t>
  </si>
  <si>
    <t>Sri Wahyuni, S.Pd</t>
  </si>
  <si>
    <t>07:0614:14</t>
  </si>
  <si>
    <t>06:5714:32</t>
  </si>
  <si>
    <t>06:0112:09</t>
  </si>
  <si>
    <t>Elsita Lesnawati, S.Pd.</t>
  </si>
  <si>
    <t>06:5006:5014:00</t>
  </si>
  <si>
    <t>06:2006:2006:2214:0014:00</t>
  </si>
  <si>
    <t>06:3906:3912:03</t>
  </si>
  <si>
    <t>89</t>
  </si>
  <si>
    <t>06:3114:01</t>
  </si>
  <si>
    <t>07:0412:00</t>
  </si>
  <si>
    <t>Rian Ramadhanu, S.Pd.</t>
  </si>
  <si>
    <t>07:0016:1316:13</t>
  </si>
  <si>
    <t>07:0714:24</t>
  </si>
  <si>
    <t>06:0616:04</t>
  </si>
  <si>
    <t>Pera Musika, M.Pd.</t>
  </si>
  <si>
    <t>21</t>
  </si>
  <si>
    <t>Rani Zahara, S.Pd.</t>
  </si>
  <si>
    <t>07:0614:03</t>
  </si>
  <si>
    <t>07:0707:0715:57</t>
  </si>
  <si>
    <t>06:2406:2412:42</t>
  </si>
  <si>
    <t>Suryana Miharlistati, S</t>
  </si>
  <si>
    <t>07:0414:06</t>
  </si>
  <si>
    <t>06:2214:00</t>
  </si>
  <si>
    <t>07:0512:37</t>
  </si>
  <si>
    <t>Yasmiza Nurhayati, S.Pd</t>
  </si>
  <si>
    <t>07:0314:00</t>
  </si>
  <si>
    <t>07:0314:23</t>
  </si>
  <si>
    <t>06:5712:37</t>
  </si>
  <si>
    <t>90</t>
  </si>
  <si>
    <t>Jefrima Dwi Putra, S. Pd</t>
  </si>
  <si>
    <t>06:4914:01</t>
  </si>
  <si>
    <t>06:5716:0216:02</t>
  </si>
  <si>
    <t>06:2015:34</t>
  </si>
  <si>
    <t>Nia Nopdanila, S.Pd.</t>
  </si>
  <si>
    <t>07:1114:02</t>
  </si>
  <si>
    <t>07:0314:03</t>
  </si>
  <si>
    <t>07:0312:01</t>
  </si>
  <si>
    <t>Nia Pitri Yani, S.Pd.I</t>
  </si>
  <si>
    <t>06:1414:00</t>
  </si>
  <si>
    <t>06:4614:00</t>
  </si>
  <si>
    <t>06:3912:00</t>
  </si>
  <si>
    <t>Susnita Frilyana, S.Pd.</t>
  </si>
  <si>
    <t>07:1014:02</t>
  </si>
  <si>
    <t>06:2612:22</t>
  </si>
  <si>
    <t>Afifah Ramadhani, S.Pd.</t>
  </si>
  <si>
    <t>06:5614:09</t>
  </si>
  <si>
    <t>07:0614:17</t>
  </si>
  <si>
    <t>06:5912:40</t>
  </si>
  <si>
    <t>29</t>
  </si>
  <si>
    <t>Reza Huzana, S.Pd.I</t>
  </si>
  <si>
    <t>06:5606:5614:00</t>
  </si>
  <si>
    <t>06:2106:2114:00</t>
  </si>
  <si>
    <t>07:0207:0212:00</t>
  </si>
  <si>
    <t>Meria Sari, S.Pd.</t>
  </si>
  <si>
    <t>07:0014:36</t>
  </si>
  <si>
    <t>07:0614:13</t>
  </si>
  <si>
    <t>07:0212:39</t>
  </si>
  <si>
    <t>Ischak Munawir, A.Md</t>
  </si>
  <si>
    <t>07:2714:07</t>
  </si>
  <si>
    <t>07:0714:26</t>
  </si>
  <si>
    <t>06:5412:02</t>
  </si>
  <si>
    <t>Heri Muryanto, S.Pd.</t>
  </si>
  <si>
    <t>07:0514:01</t>
  </si>
  <si>
    <t>07:0414:48</t>
  </si>
  <si>
    <t>06:5812:01</t>
  </si>
  <si>
    <t>Shipny Earlin Nofhy, S.</t>
  </si>
  <si>
    <t>06:4815:00</t>
  </si>
  <si>
    <t>06:4615:38</t>
  </si>
  <si>
    <t>06:5406:5412:35</t>
  </si>
  <si>
    <t>Atika Irmayani, S.s</t>
  </si>
  <si>
    <t>06:4014:00</t>
  </si>
  <si>
    <t>06:5114:54</t>
  </si>
  <si>
    <t>06:5912:22</t>
  </si>
  <si>
    <t>Mubaroq Al Machzumy, S.</t>
  </si>
  <si>
    <t>06:5814:44</t>
  </si>
  <si>
    <t>06:5614:47</t>
  </si>
  <si>
    <t>06:5214:44</t>
  </si>
  <si>
    <t>Elsiana, S.Pd.</t>
  </si>
  <si>
    <t>07:0414:03</t>
  </si>
  <si>
    <t>06:2514:12</t>
  </si>
  <si>
    <t>07:0012:01</t>
  </si>
  <si>
    <t>Windyani, S.Pd.</t>
  </si>
  <si>
    <t>06:2614:05</t>
  </si>
  <si>
    <t>07:0814:25</t>
  </si>
  <si>
    <t>07:0912:26</t>
  </si>
  <si>
    <t>Khusunul Sholeka, S.Pd.</t>
  </si>
  <si>
    <t>Anton Setiawan, S.P</t>
  </si>
  <si>
    <t>06:2814:45</t>
  </si>
  <si>
    <t>07:0814:2614:26</t>
  </si>
  <si>
    <t>07:0212:0612:06</t>
  </si>
  <si>
    <t>44</t>
  </si>
  <si>
    <t>M. Risantoso, S,Sos.I</t>
  </si>
  <si>
    <t>06:4814:01</t>
  </si>
  <si>
    <t>06:4614:09</t>
  </si>
  <si>
    <t>06:5212:00</t>
  </si>
  <si>
    <t>46</t>
  </si>
  <si>
    <t>Syukril Hamdi, S.Pd.</t>
  </si>
  <si>
    <t>07:1014:0414:0514:05</t>
  </si>
  <si>
    <t>07:0914:50</t>
  </si>
  <si>
    <t>06:30 12:32</t>
  </si>
  <si>
    <t>Rita Purwandari, A.Md</t>
  </si>
  <si>
    <t>Mukamil Mulyawati, A.Md</t>
  </si>
  <si>
    <t>07:0714:07</t>
  </si>
  <si>
    <t>06:1912:36</t>
  </si>
  <si>
    <t>55</t>
  </si>
  <si>
    <t>Ily Putri Guna, A.Md.Ke</t>
  </si>
  <si>
    <t>07:0814:04</t>
  </si>
  <si>
    <t>56</t>
  </si>
  <si>
    <t>Defri Haryanto, S.Akun.</t>
  </si>
  <si>
    <t>07:0614:45</t>
  </si>
  <si>
    <t>07:0415:06</t>
  </si>
  <si>
    <t>06:5115:34</t>
  </si>
  <si>
    <t>Sandra Yesi, A.Md.Kep</t>
  </si>
  <si>
    <t>06:5814:15</t>
  </si>
  <si>
    <t>06:4614:21</t>
  </si>
  <si>
    <t>06:5612:05</t>
  </si>
  <si>
    <t>64</t>
  </si>
  <si>
    <t>Suryadi, S.Pd.I</t>
  </si>
  <si>
    <t>06:2616:57</t>
  </si>
  <si>
    <t>07:0414:29</t>
  </si>
  <si>
    <t>07:0212:01</t>
  </si>
  <si>
    <t>65</t>
  </si>
  <si>
    <t>Bambang Haryanto, S.Pd.</t>
  </si>
  <si>
    <t>06:5914:37</t>
  </si>
  <si>
    <t>07:0114:25</t>
  </si>
  <si>
    <t>06:5512:03</t>
  </si>
  <si>
    <t>67</t>
  </si>
  <si>
    <t>Pintarti Umi Fauziah</t>
  </si>
  <si>
    <t>07:0714:10</t>
  </si>
  <si>
    <t>07:0615:57</t>
  </si>
  <si>
    <t>07:0812:4012:42</t>
  </si>
  <si>
    <t>68</t>
  </si>
  <si>
    <t>Azratul Aini</t>
  </si>
  <si>
    <t>07:0214:04</t>
  </si>
  <si>
    <t>07:0415:35</t>
  </si>
  <si>
    <t>07:0512:10</t>
  </si>
  <si>
    <t>70</t>
  </si>
  <si>
    <t>Intan Oky Putri, S.Pd.</t>
  </si>
  <si>
    <t>06:3014:11</t>
  </si>
  <si>
    <t>06:5012:03</t>
  </si>
  <si>
    <t>72</t>
  </si>
  <si>
    <t>Suryanti, M.Pd</t>
  </si>
  <si>
    <t>75</t>
  </si>
  <si>
    <t>Weni Septia Yosi , S.Pd</t>
  </si>
  <si>
    <t>06:5114:08</t>
  </si>
  <si>
    <t>06:1706:1714:02</t>
  </si>
  <si>
    <t>06:5912:02</t>
  </si>
  <si>
    <t>76</t>
  </si>
  <si>
    <t>Afif Ghazi Putra, S.Pd</t>
  </si>
  <si>
    <t>07:0714:02</t>
  </si>
  <si>
    <t>07:0414:09</t>
  </si>
  <si>
    <t>77</t>
  </si>
  <si>
    <t>Syasmi Idayati, S.Si</t>
  </si>
  <si>
    <t>06:5814:01</t>
  </si>
  <si>
    <t>07:0307:0307:0314:02</t>
  </si>
  <si>
    <t>07:0307:0307:0312:05</t>
  </si>
  <si>
    <t>78</t>
  </si>
  <si>
    <t>Renti Lasmi, S.Pd</t>
  </si>
  <si>
    <t>79</t>
  </si>
  <si>
    <t>Dia Tri Novita, S.Pd</t>
  </si>
  <si>
    <t>07:0614:06</t>
  </si>
  <si>
    <t>06:5114:10</t>
  </si>
  <si>
    <t>07:0412:02</t>
  </si>
  <si>
    <t>80</t>
  </si>
  <si>
    <t>Try Liayunika, S.Pd</t>
  </si>
  <si>
    <t>06:2314:13</t>
  </si>
  <si>
    <t>81</t>
  </si>
  <si>
    <t>Iis Yulianti, SE</t>
  </si>
  <si>
    <t>06:5316:02</t>
  </si>
  <si>
    <t>06:5816:58</t>
  </si>
  <si>
    <t>07:0507:0915:55</t>
  </si>
  <si>
    <t>82</t>
  </si>
  <si>
    <t>Susi Sulastri, S.Pd</t>
  </si>
  <si>
    <t>07:0915:42</t>
  </si>
  <si>
    <t>06:2312:0412:05</t>
  </si>
  <si>
    <t>83</t>
  </si>
  <si>
    <t>Puji Rahayu, S.Pd</t>
  </si>
  <si>
    <t>06:27 14:00</t>
  </si>
  <si>
    <t>07:0114:05</t>
  </si>
  <si>
    <t>07:0512:0312:03</t>
  </si>
  <si>
    <t>85</t>
  </si>
  <si>
    <t>Mahyudi, S.Pd</t>
  </si>
  <si>
    <t>06:5414:07</t>
  </si>
  <si>
    <t>07:0014:29</t>
  </si>
  <si>
    <t>06:5612:24</t>
  </si>
  <si>
    <t>87</t>
  </si>
  <si>
    <t>Enggar Suryaningsih</t>
  </si>
  <si>
    <t>07:0214:24</t>
  </si>
  <si>
    <t>06:2214:20</t>
  </si>
  <si>
    <t>07:0313:00</t>
  </si>
  <si>
    <t>88</t>
  </si>
  <si>
    <t>Mefi Yulianti</t>
  </si>
  <si>
    <t>07:0214:29</t>
  </si>
  <si>
    <t>07:0815:59</t>
  </si>
  <si>
    <t>06:4013:13</t>
  </si>
  <si>
    <t>Nomor</t>
  </si>
  <si>
    <t>Kegiatan</t>
  </si>
  <si>
    <t>Jam Masuk</t>
  </si>
  <si>
    <t>Jam Keluar</t>
  </si>
  <si>
    <t>Tanggal</t>
  </si>
  <si>
    <t>Gukar Ids</t>
  </si>
  <si>
    <t>PLTH</t>
  </si>
  <si>
    <t>T_Unit</t>
  </si>
  <si>
    <t>T_Khusus</t>
  </si>
  <si>
    <t>DLNT</t>
  </si>
  <si>
    <t>DLTR</t>
  </si>
  <si>
    <t>Unit</t>
  </si>
  <si>
    <t>T_Jadwal_Reguler</t>
  </si>
  <si>
    <t>T_Umum</t>
  </si>
  <si>
    <t>Sifat</t>
  </si>
  <si>
    <t>Hari</t>
  </si>
  <si>
    <t>T_Libur_
Mingguan</t>
  </si>
  <si>
    <t>T_Libur</t>
  </si>
  <si>
    <t>Gukar ID</t>
  </si>
  <si>
    <t>Libur</t>
  </si>
  <si>
    <t>Minggu</t>
  </si>
  <si>
    <t>T_Khusus_Prioritas</t>
  </si>
  <si>
    <t>ID</t>
  </si>
  <si>
    <t>POS</t>
  </si>
  <si>
    <t>NAMA</t>
  </si>
  <si>
    <t>JABATAN</t>
  </si>
  <si>
    <t>GURU QIRO'ATI</t>
  </si>
  <si>
    <t>HARI PIKET</t>
  </si>
  <si>
    <t>Cuti</t>
  </si>
  <si>
    <t>Izin</t>
  </si>
  <si>
    <t>Sakit</t>
  </si>
  <si>
    <t>Aktif</t>
  </si>
  <si>
    <t>Masuk</t>
  </si>
  <si>
    <t>Keluar</t>
  </si>
  <si>
    <t>T_Jadwal_Piket</t>
  </si>
  <si>
    <t>No. ID</t>
  </si>
  <si>
    <t>Nama</t>
  </si>
  <si>
    <t>Scan Masuk</t>
  </si>
  <si>
    <t>Scan Pulang</t>
  </si>
  <si>
    <t>T_Masuk_Khusus</t>
  </si>
  <si>
    <t>T_Prioritas_Piket</t>
  </si>
  <si>
    <t>Sabtu</t>
  </si>
  <si>
    <t>Column1</t>
  </si>
  <si>
    <t>MANAJEMEN</t>
  </si>
  <si>
    <t>Pelatihan</t>
  </si>
  <si>
    <t>01/04/2023, 08/04/2023</t>
  </si>
  <si>
    <t>29/03/2023, 30/03/2023, 31/03/2023</t>
  </si>
  <si>
    <t>Mengurus Hak Cipta batik Yayasan Al Hasanah</t>
  </si>
  <si>
    <t>Ke Rumah Pak yusran</t>
  </si>
  <si>
    <t>Ke rumah pak yusran + ke SIT 1 + SIT2 dan ponpes</t>
  </si>
  <si>
    <t>Ke ponpes dan antar SK perubahan gaji</t>
  </si>
  <si>
    <t>19.30</t>
  </si>
  <si>
    <t>07.00</t>
  </si>
  <si>
    <t>07.30</t>
  </si>
  <si>
    <t>13.00</t>
  </si>
  <si>
    <t>Itikaf Ustadzah</t>
  </si>
  <si>
    <t>12/04/2023, 13/04/2023, 14/04/2023</t>
  </si>
  <si>
    <t>1, 2, 4</t>
  </si>
  <si>
    <t>Itikaf Ustad</t>
  </si>
  <si>
    <t>07.54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</si>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</sst>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* #,##0_-;\-* #,##0_-;_-* &quot;-&quot;_-;_-@_-"/>
  </numFmts>
  <fonts count="78">
    <font>
      <sz val="10"/>
      <color rgb="FF000000"/>
      <name val="Arial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2"/>
      <name val="宋体"/>
      <charset val="134"/>
    </font>
    <font>
      <b/>
      <sz val="15"/>
      <color indexed="56"/>
      <name val="맑은 고딕"/>
      <family val="2"/>
    </font>
    <font>
      <sz val="11"/>
      <color indexed="8"/>
      <name val="맑은 고딕"/>
      <family val="2"/>
    </font>
    <font>
      <b/>
      <sz val="11"/>
      <color indexed="63"/>
      <name val="맑은 고딕"/>
      <family val="2"/>
    </font>
    <font>
      <sz val="11"/>
      <color indexed="9"/>
      <name val="맑은 고딕"/>
      <family val="2"/>
    </font>
    <font>
      <sz val="11"/>
      <color indexed="8"/>
      <name val="宋体"/>
      <charset val="134"/>
    </font>
    <font>
      <sz val="11"/>
      <color indexed="9"/>
      <name val="宋体"/>
      <charset val="134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color indexed="20"/>
      <name val="宋体"/>
      <charset val="134"/>
    </font>
    <font>
      <sz val="11"/>
      <color indexed="17"/>
      <name val="宋体"/>
      <charset val="134"/>
    </font>
    <font>
      <b/>
      <sz val="11"/>
      <color indexed="8"/>
      <name val="宋体"/>
      <charset val="134"/>
    </font>
    <font>
      <b/>
      <sz val="11"/>
      <color indexed="52"/>
      <name val="宋体"/>
      <charset val="134"/>
    </font>
    <font>
      <b/>
      <sz val="11"/>
      <color indexed="9"/>
      <name val="宋体"/>
      <charset val="134"/>
    </font>
    <font>
      <i/>
      <sz val="11"/>
      <color indexed="23"/>
      <name val="宋体"/>
      <charset val="134"/>
    </font>
    <font>
      <sz val="11"/>
      <color indexed="10"/>
      <name val="宋体"/>
      <charset val="134"/>
    </font>
    <font>
      <sz val="11"/>
      <color indexed="52"/>
      <name val="宋体"/>
      <charset val="134"/>
    </font>
    <font>
      <sz val="11"/>
      <color indexed="60"/>
      <name val="宋体"/>
      <charset val="134"/>
    </font>
    <font>
      <b/>
      <sz val="11"/>
      <color indexed="63"/>
      <name val="宋体"/>
      <charset val="134"/>
    </font>
    <font>
      <sz val="11"/>
      <color indexed="62"/>
      <name val="宋体"/>
      <charset val="134"/>
    </font>
    <font>
      <b/>
      <sz val="18"/>
      <color indexed="56"/>
      <name val="Cambria"/>
      <family val="2"/>
      <charset val="1"/>
    </font>
    <font>
      <b/>
      <sz val="15"/>
      <color indexed="56"/>
      <name val="Calibri"/>
      <family val="2"/>
      <charset val="1"/>
    </font>
    <font>
      <b/>
      <sz val="13"/>
      <color indexed="56"/>
      <name val="Calibri"/>
      <family val="2"/>
      <charset val="1"/>
    </font>
    <font>
      <b/>
      <sz val="11"/>
      <color indexed="56"/>
      <name val="Calibri"/>
      <family val="2"/>
      <charset val="1"/>
    </font>
    <font>
      <sz val="11"/>
      <color indexed="17"/>
      <name val="Calibri"/>
      <family val="2"/>
      <charset val="1"/>
    </font>
    <font>
      <sz val="11"/>
      <color indexed="20"/>
      <name val="Calibri"/>
      <family val="2"/>
      <charset val="1"/>
    </font>
    <font>
      <sz val="11"/>
      <color indexed="60"/>
      <name val="Calibri"/>
      <family val="2"/>
      <charset val="1"/>
    </font>
    <font>
      <sz val="11"/>
      <color indexed="62"/>
      <name val="Calibri"/>
      <family val="2"/>
      <charset val="1"/>
    </font>
    <font>
      <b/>
      <sz val="11"/>
      <color indexed="63"/>
      <name val="Calibri"/>
      <family val="2"/>
      <charset val="1"/>
    </font>
    <font>
      <b/>
      <sz val="11"/>
      <color indexed="52"/>
      <name val="Calibri"/>
      <family val="2"/>
      <charset val="1"/>
    </font>
    <font>
      <sz val="11"/>
      <color indexed="52"/>
      <name val="Calibri"/>
      <family val="2"/>
      <charset val="1"/>
    </font>
    <font>
      <b/>
      <sz val="11"/>
      <color indexed="9"/>
      <name val="Calibri"/>
      <family val="2"/>
      <charset val="1"/>
    </font>
    <font>
      <sz val="11"/>
      <color indexed="10"/>
      <name val="Calibri"/>
      <family val="2"/>
      <charset val="1"/>
    </font>
    <font>
      <i/>
      <sz val="11"/>
      <color indexed="23"/>
      <name val="Calibri"/>
      <family val="2"/>
      <charset val="1"/>
    </font>
    <font>
      <b/>
      <sz val="11"/>
      <color indexed="8"/>
      <name val="Calibri"/>
      <family val="2"/>
      <charset val="1"/>
    </font>
    <font>
      <sz val="11"/>
      <color indexed="9"/>
      <name val="Calibri"/>
      <family val="2"/>
      <charset val="1"/>
    </font>
    <font>
      <sz val="11"/>
      <color indexed="8"/>
      <name val="Calibri"/>
      <family val="2"/>
      <charset val="1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20"/>
      <name val="Arial"/>
      <family val="2"/>
    </font>
    <font>
      <sz val="11"/>
      <name val="Arial"/>
      <family val="2"/>
    </font>
    <font>
      <sz val="11"/>
      <color indexed="17"/>
      <name val="Arial"/>
      <family val="2"/>
    </font>
    <font>
      <sz val="12"/>
      <color indexed="8"/>
      <name val="Arial"/>
      <family val="2"/>
    </font>
    <font>
      <u/>
      <sz val="11"/>
      <color indexed="12"/>
      <name val="맑은 고딕"/>
      <family val="2"/>
    </font>
    <font>
      <sz val="8"/>
      <name val="Arial"/>
      <family val="2"/>
    </font>
    <font>
      <u/>
      <sz val="10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7"/>
      </left>
      <right/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</borders>
  <cellStyleXfs count="119">
    <xf numFmtId="0" fontId="0" fillId="0" borderId="0"/>
    <xf numFmtId="0" fontId="9" fillId="0" borderId="0"/>
    <xf numFmtId="43" fontId="10" fillId="0" borderId="0" applyFont="0" applyFill="0" applyBorder="0" applyAlignment="0" applyProtection="0"/>
    <xf numFmtId="0" fontId="11" fillId="0" borderId="0"/>
    <xf numFmtId="0" fontId="8" fillId="0" borderId="0"/>
    <xf numFmtId="0" fontId="10" fillId="0" borderId="0"/>
    <xf numFmtId="0" fontId="13" fillId="0" borderId="0">
      <alignment vertical="center"/>
    </xf>
    <xf numFmtId="0" fontId="51" fillId="2" borderId="0" applyNumberFormat="0" applyBorder="0" applyAlignment="0" applyProtection="0"/>
    <xf numFmtId="0" fontId="51" fillId="3" borderId="0" applyNumberFormat="0" applyBorder="0" applyAlignment="0" applyProtection="0"/>
    <xf numFmtId="0" fontId="51" fillId="4" borderId="0" applyNumberFormat="0" applyBorder="0" applyAlignment="0" applyProtection="0"/>
    <xf numFmtId="0" fontId="51" fillId="5" borderId="0" applyNumberFormat="0" applyBorder="0" applyAlignment="0" applyProtection="0"/>
    <xf numFmtId="0" fontId="51" fillId="6" borderId="0" applyNumberFormat="0" applyBorder="0" applyAlignment="0" applyProtection="0"/>
    <xf numFmtId="0" fontId="51" fillId="7" borderId="0" applyNumberFormat="0" applyBorder="0" applyAlignment="0" applyProtection="0"/>
    <xf numFmtId="0" fontId="15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5" borderId="0" applyNumberFormat="0" applyBorder="0" applyAlignment="0" applyProtection="0"/>
    <xf numFmtId="0" fontId="51" fillId="8" borderId="0" applyNumberFormat="0" applyBorder="0" applyAlignment="0" applyProtection="0"/>
    <xf numFmtId="0" fontId="51" fillId="11" borderId="0" applyNumberFormat="0" applyBorder="0" applyAlignment="0" applyProtection="0"/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50" fillId="12" borderId="0" applyNumberFormat="0" applyBorder="0" applyAlignment="0" applyProtection="0"/>
    <xf numFmtId="0" fontId="50" fillId="9" borderId="0" applyNumberFormat="0" applyBorder="0" applyAlignment="0" applyProtection="0"/>
    <xf numFmtId="0" fontId="50" fillId="10" borderId="0" applyNumberFormat="0" applyBorder="0" applyAlignment="0" applyProtection="0"/>
    <xf numFmtId="0" fontId="50" fillId="13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19" fillId="12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50" fillId="16" borderId="0" applyNumberFormat="0" applyBorder="0" applyAlignment="0" applyProtection="0"/>
    <xf numFmtId="0" fontId="50" fillId="17" borderId="0" applyNumberFormat="0" applyBorder="0" applyAlignment="0" applyProtection="0"/>
    <xf numFmtId="0" fontId="50" fillId="18" borderId="0" applyNumberFormat="0" applyBorder="0" applyAlignment="0" applyProtection="0"/>
    <xf numFmtId="0" fontId="50" fillId="13" borderId="0" applyNumberFormat="0" applyBorder="0" applyAlignment="0" applyProtection="0"/>
    <xf numFmtId="0" fontId="50" fillId="14" borderId="0" applyNumberFormat="0" applyBorder="0" applyAlignment="0" applyProtection="0"/>
    <xf numFmtId="0" fontId="50" fillId="19" borderId="0" applyNumberFormat="0" applyBorder="0" applyAlignment="0" applyProtection="0"/>
    <xf numFmtId="0" fontId="40" fillId="3" borderId="0" applyNumberFormat="0" applyBorder="0" applyAlignment="0" applyProtection="0"/>
    <xf numFmtId="0" fontId="44" fillId="20" borderId="3" applyNumberFormat="0" applyAlignment="0" applyProtection="0"/>
    <xf numFmtId="0" fontId="46" fillId="21" borderId="4" applyNumberFormat="0" applyAlignment="0" applyProtection="0"/>
    <xf numFmtId="164" fontId="13" fillId="0" borderId="0" applyFont="0" applyFill="0" applyBorder="0" applyAlignment="0" applyProtection="0">
      <alignment vertical="center"/>
    </xf>
    <xf numFmtId="0" fontId="48" fillId="0" borderId="0" applyNumberFormat="0" applyFill="0" applyBorder="0" applyAlignment="0" applyProtection="0"/>
    <xf numFmtId="0" fontId="39" fillId="4" borderId="0" applyNumberFormat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42" fillId="7" borderId="3" applyNumberFormat="0" applyAlignment="0" applyProtection="0"/>
    <xf numFmtId="0" fontId="45" fillId="0" borderId="8" applyNumberFormat="0" applyFill="0" applyAlignment="0" applyProtection="0"/>
    <xf numFmtId="0" fontId="41" fillId="22" borderId="0" applyNumberFormat="0" applyBorder="0" applyAlignment="0" applyProtection="0"/>
    <xf numFmtId="0" fontId="13" fillId="23" borderId="9" applyNumberFormat="0" applyFont="0" applyAlignment="0" applyProtection="0"/>
    <xf numFmtId="0" fontId="43" fillId="20" borderId="10" applyNumberFormat="0" applyAlignment="0" applyProtection="0"/>
    <xf numFmtId="0" fontId="35" fillId="0" borderId="0" applyNumberFormat="0" applyFill="0" applyBorder="0" applyAlignment="0" applyProtection="0"/>
    <xf numFmtId="0" fontId="49" fillId="0" borderId="11" applyNumberFormat="0" applyFill="0" applyAlignment="0" applyProtection="0"/>
    <xf numFmtId="0" fontId="47" fillId="0" borderId="0" applyNumberFormat="0" applyFill="0" applyBorder="0" applyAlignment="0" applyProtection="0"/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6" fillId="20" borderId="10" applyNumberFormat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8" fillId="21" borderId="4" applyNumberFormat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13" fillId="23" borderId="9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7" fillId="20" borderId="3" applyNumberFormat="0" applyAlignment="0" applyProtection="0">
      <alignment vertical="center"/>
    </xf>
    <xf numFmtId="0" fontId="34" fillId="7" borderId="3" applyNumberFormat="0" applyAlignment="0" applyProtection="0">
      <alignment vertical="center"/>
    </xf>
    <xf numFmtId="0" fontId="33" fillId="20" borderId="10" applyNumberFormat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0" borderId="8" applyNumberFormat="0" applyFill="0" applyAlignment="0" applyProtection="0">
      <alignment vertical="center"/>
    </xf>
    <xf numFmtId="0" fontId="52" fillId="0" borderId="0"/>
    <xf numFmtId="0" fontId="53" fillId="0" borderId="0"/>
    <xf numFmtId="0" fontId="54" fillId="0" borderId="0"/>
    <xf numFmtId="0" fontId="59" fillId="0" borderId="0" applyNumberFormat="0" applyFill="0" applyBorder="0" applyAlignment="0" applyProtection="0">
      <alignment vertical="top"/>
      <protection locked="0"/>
    </xf>
    <xf numFmtId="0" fontId="62" fillId="0" borderId="0"/>
    <xf numFmtId="0" fontId="8" fillId="0" borderId="0"/>
    <xf numFmtId="0" fontId="63" fillId="0" borderId="0"/>
    <xf numFmtId="0" fontId="64" fillId="0" borderId="0"/>
    <xf numFmtId="0" fontId="65" fillId="0" borderId="0"/>
    <xf numFmtId="0" fontId="65" fillId="0" borderId="0"/>
    <xf numFmtId="0" fontId="8" fillId="0" borderId="0"/>
    <xf numFmtId="0" fontId="8" fillId="0" borderId="0"/>
    <xf numFmtId="0" fontId="8" fillId="0" borderId="0"/>
    <xf numFmtId="0" fontId="67" fillId="0" borderId="0"/>
    <xf numFmtId="0" fontId="7" fillId="0" borderId="0"/>
    <xf numFmtId="0" fontId="67" fillId="0" borderId="0"/>
    <xf numFmtId="0" fontId="8" fillId="0" borderId="0"/>
    <xf numFmtId="0" fontId="68" fillId="0" borderId="0"/>
    <xf numFmtId="0" fontId="6" fillId="0" borderId="0"/>
    <xf numFmtId="0" fontId="69" fillId="0" borderId="0"/>
    <xf numFmtId="0" fontId="5" fillId="0" borderId="0"/>
    <xf numFmtId="0" fontId="73" fillId="0" borderId="0"/>
    <xf numFmtId="0" fontId="76" fillId="0" borderId="0"/>
  </cellStyleXfs>
  <cellXfs count="146">
    <xf numFmtId="0" fontId="0" fillId="0" borderId="0" xfId="0"/>
    <xf numFmtId="14" fontId="0" fillId="0" borderId="0" xfId="0" applyNumberFormat="1"/>
    <xf numFmtId="0" fontId="12" fillId="0" borderId="0" xfId="0" applyFont="1" applyAlignment="1">
      <alignment vertical="center"/>
    </xf>
    <xf numFmtId="0" fontId="10" fillId="0" borderId="0" xfId="0" applyFont="1"/>
    <xf numFmtId="0" fontId="56" fillId="24" borderId="15" xfId="0" applyFont="1" applyFill="1" applyBorder="1" applyAlignment="1">
      <alignment vertical="center"/>
    </xf>
    <xf numFmtId="0" fontId="57" fillId="24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56" fillId="0" borderId="0" xfId="0" applyFont="1" applyAlignment="1">
      <alignment horizontal="right" vertical="center"/>
    </xf>
    <xf numFmtId="0" fontId="56" fillId="24" borderId="0" xfId="0" applyFont="1" applyFill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58" fillId="0" borderId="18" xfId="0" applyFont="1" applyBorder="1" applyAlignment="1">
      <alignment horizontal="left" vertical="center"/>
    </xf>
    <xf numFmtId="0" fontId="58" fillId="0" borderId="0" xfId="0" applyFont="1" applyAlignment="1">
      <alignment horizontal="left" vertical="center"/>
    </xf>
    <xf numFmtId="0" fontId="56" fillId="0" borderId="0" xfId="99" applyFont="1" applyFill="1" applyBorder="1" applyAlignment="1" applyProtection="1">
      <alignment horizontal="left" vertical="center"/>
    </xf>
    <xf numFmtId="0" fontId="58" fillId="0" borderId="0" xfId="0" applyFont="1" applyAlignment="1">
      <alignment horizontal="right" vertical="center"/>
    </xf>
    <xf numFmtId="0" fontId="58" fillId="0" borderId="19" xfId="0" applyFont="1" applyBorder="1" applyAlignment="1">
      <alignment horizontal="left" vertical="center"/>
    </xf>
    <xf numFmtId="0" fontId="60" fillId="0" borderId="17" xfId="0" applyFont="1" applyBorder="1" applyAlignment="1">
      <alignment vertical="center" wrapText="1"/>
    </xf>
    <xf numFmtId="0" fontId="10" fillId="0" borderId="0" xfId="5"/>
    <xf numFmtId="0" fontId="10" fillId="0" borderId="1" xfId="5" applyBorder="1"/>
    <xf numFmtId="0" fontId="0" fillId="0" borderId="1" xfId="5" applyFont="1" applyBorder="1"/>
    <xf numFmtId="20" fontId="10" fillId="0" borderId="0" xfId="5" applyNumberFormat="1" applyAlignment="1">
      <alignment horizontal="center"/>
    </xf>
    <xf numFmtId="0" fontId="0" fillId="0" borderId="0" xfId="5" applyFont="1" applyAlignment="1">
      <alignment horizontal="center"/>
    </xf>
    <xf numFmtId="20" fontId="10" fillId="0" borderId="0" xfId="5" applyNumberFormat="1"/>
    <xf numFmtId="14" fontId="10" fillId="0" borderId="0" xfId="5" applyNumberFormat="1" applyAlignment="1">
      <alignment wrapText="1"/>
    </xf>
    <xf numFmtId="0" fontId="10" fillId="0" borderId="0" xfId="5" applyAlignment="1">
      <alignment horizontal="center" vertical="center"/>
    </xf>
    <xf numFmtId="20" fontId="0" fillId="0" borderId="0" xfId="5" applyNumberFormat="1" applyFont="1" applyAlignment="1">
      <alignment horizontal="center"/>
    </xf>
    <xf numFmtId="0" fontId="5" fillId="0" borderId="0" xfId="116"/>
    <xf numFmtId="0" fontId="0" fillId="0" borderId="1" xfId="5" applyFont="1" applyBorder="1" applyAlignment="1">
      <alignment horizontal="center"/>
    </xf>
    <xf numFmtId="0" fontId="5" fillId="0" borderId="0" xfId="116" applyAlignment="1">
      <alignment horizontal="center"/>
    </xf>
    <xf numFmtId="0" fontId="10" fillId="25" borderId="0" xfId="5" applyFill="1"/>
    <xf numFmtId="0" fontId="0" fillId="0" borderId="0" xfId="5" applyFont="1"/>
    <xf numFmtId="14" fontId="10" fillId="0" borderId="0" xfId="5" applyNumberFormat="1"/>
    <xf numFmtId="0" fontId="10" fillId="0" borderId="0" xfId="5" applyAlignment="1">
      <alignment wrapText="1"/>
    </xf>
    <xf numFmtId="20" fontId="0" fillId="0" borderId="0" xfId="5" applyNumberFormat="1" applyFont="1"/>
    <xf numFmtId="0" fontId="10" fillId="25" borderId="0" xfId="5" applyFill="1" applyAlignment="1">
      <alignment wrapText="1"/>
    </xf>
    <xf numFmtId="0" fontId="10" fillId="0" borderId="0" xfId="5" applyAlignment="1">
      <alignment vertical="center"/>
    </xf>
    <xf numFmtId="20" fontId="10" fillId="0" borderId="0" xfId="5" applyNumberFormat="1" applyAlignment="1">
      <alignment vertical="center"/>
    </xf>
    <xf numFmtId="14" fontId="61" fillId="0" borderId="0" xfId="5" applyNumberFormat="1" applyFont="1"/>
    <xf numFmtId="0" fontId="10" fillId="27" borderId="0" xfId="5" applyFill="1"/>
    <xf numFmtId="0" fontId="10" fillId="26" borderId="21" xfId="5" applyFill="1" applyBorder="1" applyAlignment="1">
      <alignment horizontal="left" vertical="center"/>
    </xf>
    <xf numFmtId="0" fontId="10" fillId="26" borderId="2" xfId="5" applyFill="1" applyBorder="1" applyAlignment="1">
      <alignment horizontal="left" vertical="center"/>
    </xf>
    <xf numFmtId="0" fontId="10" fillId="26" borderId="22" xfId="5" applyFill="1" applyBorder="1" applyAlignment="1">
      <alignment horizontal="left" vertical="center"/>
    </xf>
    <xf numFmtId="0" fontId="10" fillId="26" borderId="20" xfId="5" applyFill="1" applyBorder="1" applyAlignment="1">
      <alignment horizontal="left" vertical="center"/>
    </xf>
    <xf numFmtId="0" fontId="10" fillId="0" borderId="1" xfId="5" applyBorder="1" applyAlignment="1">
      <alignment horizontal="center"/>
    </xf>
    <xf numFmtId="0" fontId="10" fillId="0" borderId="0" xfId="5" applyAlignment="1">
      <alignment horizontal="center"/>
    </xf>
    <xf numFmtId="0" fontId="4" fillId="0" borderId="1" xfId="0" applyFont="1" applyBorder="1" applyAlignment="1">
      <alignment horizontal="left" vertical="center"/>
    </xf>
    <xf numFmtId="20" fontId="0" fillId="0" borderId="0" xfId="5" applyNumberFormat="1" applyFont="1" applyAlignment="1">
      <alignment horizontal="right"/>
    </xf>
    <xf numFmtId="14" fontId="10" fillId="0" borderId="0" xfId="5" applyNumberFormat="1" applyAlignment="1">
      <alignment horizontal="right"/>
    </xf>
    <xf numFmtId="14" fontId="10" fillId="0" borderId="1" xfId="5" applyNumberFormat="1" applyBorder="1" applyAlignment="1">
      <alignment wrapText="1"/>
    </xf>
    <xf numFmtId="14" fontId="66" fillId="0" borderId="24" xfId="5" applyNumberFormat="1" applyFont="1" applyBorder="1" applyAlignment="1">
      <alignment horizontal="center" vertical="center" wrapText="1"/>
    </xf>
    <xf numFmtId="0" fontId="10" fillId="0" borderId="1" xfId="5" applyBorder="1" applyAlignment="1">
      <alignment wrapText="1"/>
    </xf>
    <xf numFmtId="0" fontId="0" fillId="0" borderId="0" xfId="5" applyFont="1" applyAlignment="1">
      <alignment vertical="center"/>
    </xf>
    <xf numFmtId="0" fontId="0" fillId="0" borderId="0" xfId="5" applyFont="1" applyAlignment="1">
      <alignment horizontal="center" vertical="center"/>
    </xf>
    <xf numFmtId="20" fontId="0" fillId="0" borderId="0" xfId="5" applyNumberFormat="1" applyFont="1" applyAlignment="1">
      <alignment horizontal="center" vertical="center"/>
    </xf>
    <xf numFmtId="0" fontId="0" fillId="0" borderId="0" xfId="5" applyFont="1" applyAlignment="1">
      <alignment horizontal="left" vertical="center"/>
    </xf>
    <xf numFmtId="14" fontId="10" fillId="0" borderId="0" xfId="5" applyNumberFormat="1" applyAlignment="1">
      <alignment horizontal="center"/>
    </xf>
    <xf numFmtId="14" fontId="0" fillId="0" borderId="0" xfId="5" applyNumberFormat="1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0" fontId="4" fillId="0" borderId="23" xfId="0" applyFont="1" applyBorder="1" applyAlignment="1">
      <alignment horizontal="center" vertical="center"/>
    </xf>
    <xf numFmtId="16" fontId="10" fillId="0" borderId="0" xfId="5" applyNumberFormat="1" applyAlignment="1">
      <alignment horizontal="center" wrapText="1"/>
    </xf>
    <xf numFmtId="0" fontId="72" fillId="0" borderId="0" xfId="0" applyFont="1"/>
    <xf numFmtId="14" fontId="10" fillId="0" borderId="0" xfId="5" applyNumberFormat="1" applyAlignment="1">
      <alignment horizontal="center" wrapText="1"/>
    </xf>
    <xf numFmtId="14" fontId="10" fillId="0" borderId="0" xfId="5" applyNumberFormat="1" applyAlignment="1">
      <alignment horizontal="center" vertical="center" wrapText="1"/>
    </xf>
    <xf numFmtId="0" fontId="0" fillId="0" borderId="0" xfId="5" applyFont="1" applyAlignment="1">
      <alignment horizontal="center" vertical="center" wrapText="1"/>
    </xf>
    <xf numFmtId="20" fontId="72" fillId="0" borderId="0" xfId="0" applyNumberFormat="1" applyFont="1" applyAlignment="1">
      <alignment horizontal="center"/>
    </xf>
    <xf numFmtId="0" fontId="72" fillId="0" borderId="0" xfId="0" applyFont="1" applyAlignment="1">
      <alignment horizontal="center"/>
    </xf>
    <xf numFmtId="0" fontId="72" fillId="2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0" fillId="0" borderId="1" xfId="5" applyBorder="1" applyAlignment="1">
      <alignment horizontal="center" vertical="center"/>
    </xf>
    <xf numFmtId="0" fontId="10" fillId="0" borderId="23" xfId="5" applyBorder="1" applyAlignment="1">
      <alignment horizontal="center" vertical="center"/>
    </xf>
    <xf numFmtId="0" fontId="0" fillId="0" borderId="23" xfId="5" applyFont="1" applyBorder="1" applyAlignment="1">
      <alignment horizontal="center" vertical="center"/>
    </xf>
    <xf numFmtId="0" fontId="5" fillId="28" borderId="0" xfId="116" applyFill="1"/>
    <xf numFmtId="0" fontId="71" fillId="0" borderId="1" xfId="0" applyFont="1" applyBorder="1"/>
    <xf numFmtId="0" fontId="71" fillId="0" borderId="1" xfId="0" applyFont="1" applyBorder="1" applyAlignment="1">
      <alignment horizontal="center"/>
    </xf>
    <xf numFmtId="14" fontId="10" fillId="0" borderId="0" xfId="5" applyNumberFormat="1" applyAlignment="1">
      <alignment horizontal="center" vertical="center"/>
    </xf>
    <xf numFmtId="0" fontId="0" fillId="26" borderId="25" xfId="5" applyFont="1" applyFill="1" applyBorder="1" applyAlignment="1">
      <alignment horizontal="center" vertical="center"/>
    </xf>
    <xf numFmtId="20" fontId="73" fillId="0" borderId="0" xfId="117" applyNumberFormat="1" applyAlignment="1">
      <alignment horizontal="center" vertical="center"/>
    </xf>
    <xf numFmtId="0" fontId="73" fillId="25" borderId="0" xfId="117" applyFill="1" applyAlignment="1">
      <alignment horizontal="center" vertical="center"/>
    </xf>
    <xf numFmtId="20" fontId="73" fillId="30" borderId="0" xfId="117" applyNumberFormat="1" applyFill="1" applyAlignment="1">
      <alignment horizontal="center" vertical="center"/>
    </xf>
    <xf numFmtId="0" fontId="73" fillId="29" borderId="0" xfId="117" applyFill="1" applyAlignment="1">
      <alignment horizontal="center" vertical="center"/>
    </xf>
    <xf numFmtId="0" fontId="72" fillId="29" borderId="0" xfId="0" applyFont="1" applyFill="1" applyAlignment="1">
      <alignment horizontal="center"/>
    </xf>
    <xf numFmtId="0" fontId="0" fillId="0" borderId="1" xfId="0" applyBorder="1"/>
    <xf numFmtId="20" fontId="73" fillId="31" borderId="0" xfId="117" applyNumberFormat="1" applyFill="1" applyAlignment="1">
      <alignment horizontal="center" vertical="center"/>
    </xf>
    <xf numFmtId="0" fontId="5" fillId="31" borderId="0" xfId="116" applyFill="1" applyAlignment="1">
      <alignment horizontal="center"/>
    </xf>
    <xf numFmtId="0" fontId="72" fillId="31" borderId="0" xfId="0" applyFont="1" applyFill="1" applyAlignment="1">
      <alignment horizontal="center"/>
    </xf>
    <xf numFmtId="20" fontId="72" fillId="31" borderId="0" xfId="0" applyNumberFormat="1" applyFont="1" applyFill="1" applyAlignment="1">
      <alignment horizontal="center"/>
    </xf>
    <xf numFmtId="14" fontId="10" fillId="0" borderId="2" xfId="5" applyNumberFormat="1" applyBorder="1"/>
    <xf numFmtId="0" fontId="0" fillId="0" borderId="23" xfId="5" applyFont="1" applyBorder="1" applyAlignment="1">
      <alignment horizontal="center"/>
    </xf>
    <xf numFmtId="0" fontId="0" fillId="0" borderId="23" xfId="0" applyBorder="1"/>
    <xf numFmtId="0" fontId="10" fillId="0" borderId="23" xfId="5" applyBorder="1" applyAlignment="1">
      <alignment wrapText="1"/>
    </xf>
    <xf numFmtId="14" fontId="10" fillId="0" borderId="23" xfId="5" applyNumberFormat="1" applyBorder="1" applyAlignment="1">
      <alignment wrapText="1"/>
    </xf>
    <xf numFmtId="0" fontId="10" fillId="0" borderId="23" xfId="5" applyBorder="1"/>
    <xf numFmtId="0" fontId="74" fillId="0" borderId="24" xfId="5" applyFont="1" applyBorder="1" applyAlignment="1">
      <alignment horizontal="center" vertical="center"/>
    </xf>
    <xf numFmtId="0" fontId="66" fillId="0" borderId="24" xfId="5" applyFont="1" applyBorder="1" applyAlignment="1">
      <alignment vertical="center" wrapText="1"/>
    </xf>
    <xf numFmtId="0" fontId="66" fillId="0" borderId="24" xfId="5" applyFont="1" applyBorder="1" applyAlignment="1">
      <alignment vertical="center"/>
    </xf>
    <xf numFmtId="0" fontId="75" fillId="0" borderId="0" xfId="0" applyFont="1"/>
    <xf numFmtId="20" fontId="0" fillId="0" borderId="0" xfId="0" applyNumberFormat="1"/>
    <xf numFmtId="0" fontId="66" fillId="0" borderId="24" xfId="5" applyFont="1" applyBorder="1" applyAlignment="1">
      <alignment horizontal="center" vertical="center"/>
    </xf>
    <xf numFmtId="14" fontId="10" fillId="0" borderId="23" xfId="5" applyNumberFormat="1" applyBorder="1" applyAlignment="1">
      <alignment horizontal="right" wrapText="1"/>
    </xf>
    <xf numFmtId="14" fontId="0" fillId="0" borderId="23" xfId="5" applyNumberFormat="1" applyFont="1" applyBorder="1"/>
    <xf numFmtId="20" fontId="75" fillId="0" borderId="0" xfId="0" applyNumberFormat="1" applyFont="1"/>
    <xf numFmtId="0" fontId="8" fillId="0" borderId="0" xfId="0" applyFont="1"/>
    <xf numFmtId="0" fontId="10" fillId="0" borderId="0" xfId="5" applyAlignment="1">
      <alignment vertical="center" wrapText="1"/>
    </xf>
    <xf numFmtId="14" fontId="75" fillId="0" borderId="0" xfId="0" applyNumberFormat="1" applyFont="1"/>
    <xf numFmtId="20" fontId="5" fillId="0" borderId="0" xfId="116" applyNumberFormat="1" applyAlignment="1">
      <alignment horizontal="center"/>
    </xf>
    <xf numFmtId="0" fontId="10" fillId="26" borderId="26" xfId="5" applyFill="1" applyBorder="1" applyAlignment="1">
      <alignment horizontal="center"/>
    </xf>
    <xf numFmtId="0" fontId="10" fillId="0" borderId="27" xfId="5" applyBorder="1" applyAlignment="1">
      <alignment horizontal="center"/>
    </xf>
    <xf numFmtId="0" fontId="3" fillId="0" borderId="27" xfId="5" applyFont="1" applyBorder="1" applyAlignment="1">
      <alignment horizontal="left" vertical="center"/>
    </xf>
    <xf numFmtId="0" fontId="3" fillId="0" borderId="27" xfId="5" applyFont="1" applyBorder="1" applyAlignment="1">
      <alignment horizontal="center" vertical="center"/>
    </xf>
    <xf numFmtId="0" fontId="10" fillId="0" borderId="27" xfId="5" applyBorder="1"/>
    <xf numFmtId="14" fontId="8" fillId="0" borderId="0" xfId="0" applyNumberFormat="1" applyFont="1"/>
    <xf numFmtId="0" fontId="76" fillId="0" borderId="0" xfId="118"/>
    <xf numFmtId="14" fontId="76" fillId="0" borderId="0" xfId="118" applyNumberFormat="1"/>
    <xf numFmtId="0" fontId="5" fillId="25" borderId="0" xfId="116" applyFill="1" applyAlignment="1">
      <alignment horizontal="center"/>
    </xf>
    <xf numFmtId="14" fontId="10" fillId="0" borderId="1" xfId="5" applyNumberFormat="1" applyBorder="1"/>
    <xf numFmtId="14" fontId="0" fillId="0" borderId="1" xfId="5" applyNumberFormat="1" applyFont="1" applyBorder="1"/>
    <xf numFmtId="14" fontId="10" fillId="0" borderId="27" xfId="5" applyNumberFormat="1" applyBorder="1"/>
    <xf numFmtId="0" fontId="2" fillId="28" borderId="0" xfId="116" applyFont="1" applyFill="1"/>
    <xf numFmtId="20" fontId="8" fillId="0" borderId="0" xfId="0" applyNumberFormat="1" applyFont="1"/>
    <xf numFmtId="20" fontId="10" fillId="0" borderId="0" xfId="0" applyNumberFormat="1" applyFont="1"/>
    <xf numFmtId="20" fontId="8" fillId="31" borderId="0" xfId="117" applyNumberFormat="1" applyFont="1" applyFill="1" applyAlignment="1">
      <alignment horizontal="center" vertical="center"/>
    </xf>
    <xf numFmtId="0" fontId="8" fillId="0" borderId="0" xfId="118" applyFont="1"/>
    <xf numFmtId="0" fontId="5" fillId="25" borderId="0" xfId="116" applyFill="1"/>
    <xf numFmtId="0" fontId="10" fillId="0" borderId="0" xfId="5" applyAlignment="1">
      <alignment horizontal="center" vertical="center" wrapText="1"/>
    </xf>
    <xf numFmtId="14" fontId="66" fillId="0" borderId="28" xfId="5" applyNumberFormat="1" applyFont="1" applyBorder="1" applyAlignment="1">
      <alignment horizontal="center" vertical="center" wrapText="1"/>
    </xf>
    <xf numFmtId="0" fontId="66" fillId="0" borderId="28" xfId="5" applyFont="1" applyBorder="1" applyAlignment="1">
      <alignment vertical="center"/>
    </xf>
    <xf numFmtId="0" fontId="77" fillId="0" borderId="0" xfId="0" applyFont="1"/>
    <xf numFmtId="0" fontId="8" fillId="31" borderId="0" xfId="0" applyFont="1" applyFill="1"/>
    <xf numFmtId="20" fontId="8" fillId="31" borderId="0" xfId="0" applyNumberFormat="1" applyFont="1" applyFill="1"/>
    <xf numFmtId="20" fontId="2" fillId="0" borderId="0" xfId="116" applyNumberFormat="1" applyFont="1"/>
    <xf numFmtId="20" fontId="2" fillId="0" borderId="0" xfId="116" applyNumberFormat="1" applyFont="1" applyAlignment="1">
      <alignment horizontal="center"/>
    </xf>
    <xf numFmtId="14" fontId="77" fillId="0" borderId="0" xfId="0" applyNumberFormat="1" applyFont="1"/>
    <xf numFmtId="20" fontId="77" fillId="0" borderId="0" xfId="0" applyNumberFormat="1" applyFont="1"/>
    <xf numFmtId="0" fontId="1" fillId="28" borderId="0" xfId="116" applyFont="1" applyFill="1"/>
    <xf numFmtId="0" fontId="1" fillId="0" borderId="0" xfId="116" applyFont="1"/>
    <xf numFmtId="20" fontId="2" fillId="31" borderId="0" xfId="116" applyNumberFormat="1" applyFont="1" applyFill="1" applyAlignment="1">
      <alignment horizontal="center"/>
    </xf>
    <xf numFmtId="0" fontId="10" fillId="0" borderId="0" xfId="5" applyAlignment="1">
      <alignment horizontal="center"/>
    </xf>
    <xf numFmtId="0" fontId="10" fillId="25" borderId="0" xfId="5" applyFill="1" applyAlignment="1">
      <alignment horizontal="center"/>
    </xf>
    <xf numFmtId="0" fontId="55" fillId="24" borderId="12" xfId="0" applyFont="1" applyFill="1" applyBorder="1" applyAlignment="1">
      <alignment horizontal="center" vertical="center" wrapText="1"/>
    </xf>
    <xf numFmtId="0" fontId="55" fillId="24" borderId="13" xfId="0" applyFont="1" applyFill="1" applyBorder="1" applyAlignment="1">
      <alignment horizontal="center" vertical="center"/>
    </xf>
    <xf numFmtId="0" fontId="55" fillId="24" borderId="14" xfId="0" applyFont="1" applyFill="1" applyBorder="1" applyAlignment="1">
      <alignment horizontal="center" vertical="center"/>
    </xf>
    <xf numFmtId="0" fontId="55" fillId="24" borderId="15" xfId="0" applyFont="1" applyFill="1" applyBorder="1" applyAlignment="1">
      <alignment horizontal="center" vertical="center"/>
    </xf>
    <xf numFmtId="0" fontId="55" fillId="24" borderId="0" xfId="0" applyFont="1" applyFill="1" applyAlignment="1">
      <alignment horizontal="center" vertical="center"/>
    </xf>
    <xf numFmtId="0" fontId="55" fillId="24" borderId="16" xfId="0" applyFont="1" applyFill="1" applyBorder="1" applyAlignment="1">
      <alignment horizontal="center" vertical="center"/>
    </xf>
    <xf numFmtId="0" fontId="56" fillId="24" borderId="0" xfId="0" applyFont="1" applyFill="1" applyAlignment="1">
      <alignment vertical="center"/>
    </xf>
    <xf numFmtId="0" fontId="56" fillId="24" borderId="16" xfId="0" applyFont="1" applyFill="1" applyBorder="1" applyAlignment="1">
      <alignment vertical="center"/>
    </xf>
  </cellXfs>
  <cellStyles count="119">
    <cellStyle name="20% - Accent1 2" xfId="7" xr:uid="{00000000-0005-0000-0000-000000000000}"/>
    <cellStyle name="20% - Accent2 2" xfId="8" xr:uid="{00000000-0005-0000-0000-000001000000}"/>
    <cellStyle name="20% - Accent3 2" xfId="9" xr:uid="{00000000-0005-0000-0000-000002000000}"/>
    <cellStyle name="20% - Accent4 2" xfId="10" xr:uid="{00000000-0005-0000-0000-000003000000}"/>
    <cellStyle name="20% - Accent5 2" xfId="11" xr:uid="{00000000-0005-0000-0000-000004000000}"/>
    <cellStyle name="20% - Accent6 2" xfId="12" xr:uid="{00000000-0005-0000-0000-000005000000}"/>
    <cellStyle name="20% - 강조색1" xfId="13" xr:uid="{00000000-0005-0000-0000-000006000000}"/>
    <cellStyle name="20% - 强调文字颜色 1" xfId="14" xr:uid="{00000000-0005-0000-0000-000007000000}"/>
    <cellStyle name="20% - 强调文字颜色 2" xfId="15" xr:uid="{00000000-0005-0000-0000-000008000000}"/>
    <cellStyle name="20% - 强调文字颜色 3" xfId="16" xr:uid="{00000000-0005-0000-0000-000009000000}"/>
    <cellStyle name="20% - 强调文字颜色 4" xfId="17" xr:uid="{00000000-0005-0000-0000-00000A000000}"/>
    <cellStyle name="20% - 强调文字颜色 5" xfId="18" xr:uid="{00000000-0005-0000-0000-00000B000000}"/>
    <cellStyle name="20% - 强调文字颜色 6" xfId="19" xr:uid="{00000000-0005-0000-0000-00000C000000}"/>
    <cellStyle name="40% - Accent1 2" xfId="20" xr:uid="{00000000-0005-0000-0000-00000D000000}"/>
    <cellStyle name="40% - Accent2 2" xfId="21" xr:uid="{00000000-0005-0000-0000-00000E000000}"/>
    <cellStyle name="40% - Accent3 2" xfId="22" xr:uid="{00000000-0005-0000-0000-00000F000000}"/>
    <cellStyle name="40% - Accent4 2" xfId="23" xr:uid="{00000000-0005-0000-0000-000010000000}"/>
    <cellStyle name="40% - Accent5 2" xfId="24" xr:uid="{00000000-0005-0000-0000-000011000000}"/>
    <cellStyle name="40% - Accent6 2" xfId="25" xr:uid="{00000000-0005-0000-0000-000012000000}"/>
    <cellStyle name="40% - 强调文字颜色 1" xfId="26" xr:uid="{00000000-0005-0000-0000-000013000000}"/>
    <cellStyle name="40% - 强调文字颜色 2" xfId="27" xr:uid="{00000000-0005-0000-0000-000014000000}"/>
    <cellStyle name="40% - 强调文字颜色 3" xfId="28" xr:uid="{00000000-0005-0000-0000-000015000000}"/>
    <cellStyle name="40% - 强调文字颜色 4" xfId="29" xr:uid="{00000000-0005-0000-0000-000016000000}"/>
    <cellStyle name="40% - 强调文字颜色 5" xfId="30" xr:uid="{00000000-0005-0000-0000-000017000000}"/>
    <cellStyle name="40% - 强调文字颜色 6" xfId="31" xr:uid="{00000000-0005-0000-0000-000018000000}"/>
    <cellStyle name="60% - Accent1 2" xfId="32" xr:uid="{00000000-0005-0000-0000-000019000000}"/>
    <cellStyle name="60% - Accent2 2" xfId="33" xr:uid="{00000000-0005-0000-0000-00001A000000}"/>
    <cellStyle name="60% - Accent3 2" xfId="34" xr:uid="{00000000-0005-0000-0000-00001B000000}"/>
    <cellStyle name="60% - Accent4 2" xfId="35" xr:uid="{00000000-0005-0000-0000-00001C000000}"/>
    <cellStyle name="60% - Accent5 2" xfId="36" xr:uid="{00000000-0005-0000-0000-00001D000000}"/>
    <cellStyle name="60% - Accent6 2" xfId="37" xr:uid="{00000000-0005-0000-0000-00001E000000}"/>
    <cellStyle name="60% - 强调文字颜色 1" xfId="38" xr:uid="{00000000-0005-0000-0000-00001F000000}"/>
    <cellStyle name="60% - 强调文字颜色 2" xfId="39" xr:uid="{00000000-0005-0000-0000-000020000000}"/>
    <cellStyle name="60% - 强调文字颜色 3" xfId="40" xr:uid="{00000000-0005-0000-0000-000021000000}"/>
    <cellStyle name="60% - 强调文字颜色 4" xfId="41" xr:uid="{00000000-0005-0000-0000-000022000000}"/>
    <cellStyle name="60% - 强调文字颜色 5" xfId="42" xr:uid="{00000000-0005-0000-0000-000023000000}"/>
    <cellStyle name="60% - 强调文字颜色 6" xfId="43" xr:uid="{00000000-0005-0000-0000-000024000000}"/>
    <cellStyle name="Accent1 2" xfId="44" xr:uid="{00000000-0005-0000-0000-000025000000}"/>
    <cellStyle name="Accent2 2" xfId="45" xr:uid="{00000000-0005-0000-0000-000026000000}"/>
    <cellStyle name="Accent3 2" xfId="46" xr:uid="{00000000-0005-0000-0000-000027000000}"/>
    <cellStyle name="Accent4 2" xfId="47" xr:uid="{00000000-0005-0000-0000-000028000000}"/>
    <cellStyle name="Accent5 2" xfId="48" xr:uid="{00000000-0005-0000-0000-000029000000}"/>
    <cellStyle name="Accent6 2" xfId="49" xr:uid="{00000000-0005-0000-0000-00002A000000}"/>
    <cellStyle name="Bad 2" xfId="50" xr:uid="{00000000-0005-0000-0000-00002B000000}"/>
    <cellStyle name="Calculation 2" xfId="51" xr:uid="{00000000-0005-0000-0000-00002C000000}"/>
    <cellStyle name="Check Cell 2" xfId="52" xr:uid="{00000000-0005-0000-0000-00002D000000}"/>
    <cellStyle name="Comma [0] 2" xfId="53" xr:uid="{00000000-0005-0000-0000-00002E000000}"/>
    <cellStyle name="Comma 8" xfId="2" xr:uid="{00000000-0005-0000-0000-00002F000000}"/>
    <cellStyle name="Explanatory Text 2" xfId="54" xr:uid="{00000000-0005-0000-0000-000030000000}"/>
    <cellStyle name="Good 2" xfId="55" xr:uid="{00000000-0005-0000-0000-000031000000}"/>
    <cellStyle name="Heading 1 2" xfId="56" xr:uid="{00000000-0005-0000-0000-000032000000}"/>
    <cellStyle name="Heading 2 2" xfId="57" xr:uid="{00000000-0005-0000-0000-000033000000}"/>
    <cellStyle name="Heading 3 2" xfId="58" xr:uid="{00000000-0005-0000-0000-000034000000}"/>
    <cellStyle name="Heading 4 2" xfId="59" xr:uid="{00000000-0005-0000-0000-000035000000}"/>
    <cellStyle name="Hyperlink" xfId="99" builtinId="8"/>
    <cellStyle name="Input 2" xfId="60" xr:uid="{00000000-0005-0000-0000-000037000000}"/>
    <cellStyle name="Linked Cell 2" xfId="61" xr:uid="{00000000-0005-0000-0000-000038000000}"/>
    <cellStyle name="Neutral 2" xfId="62" xr:uid="{00000000-0005-0000-0000-000039000000}"/>
    <cellStyle name="Normal" xfId="0" builtinId="0"/>
    <cellStyle name="Normal 10" xfId="104" xr:uid="{00000000-0005-0000-0000-00003B000000}"/>
    <cellStyle name="Normal 10 2" xfId="108" xr:uid="{00000000-0005-0000-0000-00003C000000}"/>
    <cellStyle name="Normal 11" xfId="109" xr:uid="{00000000-0005-0000-0000-00003D000000}"/>
    <cellStyle name="Normal 11 2" xfId="107" xr:uid="{00000000-0005-0000-0000-00003E000000}"/>
    <cellStyle name="Normal 11 3" xfId="110" xr:uid="{00000000-0005-0000-0000-00003F000000}"/>
    <cellStyle name="Normal 12" xfId="113" xr:uid="{00000000-0005-0000-0000-000040000000}"/>
    <cellStyle name="Normal 13" xfId="114" xr:uid="{00000000-0005-0000-0000-000041000000}"/>
    <cellStyle name="Normal 14" xfId="116" xr:uid="{00000000-0005-0000-0000-000042000000}"/>
    <cellStyle name="Normal 15" xfId="117" xr:uid="{00000000-0005-0000-0000-000043000000}"/>
    <cellStyle name="Normal 16" xfId="118" xr:uid="{11C6B723-C8EE-4717-AB4A-5629B19DD10C}"/>
    <cellStyle name="Normal 2" xfId="3" xr:uid="{00000000-0005-0000-0000-000044000000}"/>
    <cellStyle name="Normal 2 2" xfId="112" xr:uid="{00000000-0005-0000-0000-000045000000}"/>
    <cellStyle name="Normal 2 3" xfId="111" xr:uid="{00000000-0005-0000-0000-000046000000}"/>
    <cellStyle name="Normal 3" xfId="4" xr:uid="{00000000-0005-0000-0000-000047000000}"/>
    <cellStyle name="Normal 4" xfId="6" xr:uid="{00000000-0005-0000-0000-000048000000}"/>
    <cellStyle name="Normal 4 2" xfId="1" xr:uid="{00000000-0005-0000-0000-000049000000}"/>
    <cellStyle name="Normal 5" xfId="96" xr:uid="{00000000-0005-0000-0000-00004A000000}"/>
    <cellStyle name="Normal 6" xfId="97" xr:uid="{00000000-0005-0000-0000-00004B000000}"/>
    <cellStyle name="Normal 7" xfId="98" xr:uid="{00000000-0005-0000-0000-00004C000000}"/>
    <cellStyle name="Normal 8" xfId="5" xr:uid="{00000000-0005-0000-0000-00004D000000}"/>
    <cellStyle name="Normal 9" xfId="100" xr:uid="{00000000-0005-0000-0000-00004E000000}"/>
    <cellStyle name="Normal 9 2" xfId="101" xr:uid="{00000000-0005-0000-0000-00004F000000}"/>
    <cellStyle name="Normal 9 3" xfId="102" xr:uid="{00000000-0005-0000-0000-000050000000}"/>
    <cellStyle name="Normal 9 3 2" xfId="106" xr:uid="{00000000-0005-0000-0000-000051000000}"/>
    <cellStyle name="Normal 9 3 3" xfId="115" xr:uid="{00000000-0005-0000-0000-000052000000}"/>
    <cellStyle name="Normal 9 4" xfId="103" xr:uid="{00000000-0005-0000-0000-000053000000}"/>
    <cellStyle name="Normal 9 4 2" xfId="105" xr:uid="{00000000-0005-0000-0000-000054000000}"/>
    <cellStyle name="Note 2" xfId="63" xr:uid="{00000000-0005-0000-0000-000055000000}"/>
    <cellStyle name="Output 2" xfId="64" xr:uid="{00000000-0005-0000-0000-000056000000}"/>
    <cellStyle name="Title 2" xfId="65" xr:uid="{00000000-0005-0000-0000-000057000000}"/>
    <cellStyle name="Total 2" xfId="66" xr:uid="{00000000-0005-0000-0000-000058000000}"/>
    <cellStyle name="Warning Text 2" xfId="67" xr:uid="{00000000-0005-0000-0000-000059000000}"/>
    <cellStyle name="강조색1" xfId="68" xr:uid="{00000000-0005-0000-0000-00005A000000}"/>
    <cellStyle name="강조색2" xfId="69" xr:uid="{00000000-0005-0000-0000-00005B000000}"/>
    <cellStyle name="강조색4" xfId="70" xr:uid="{00000000-0005-0000-0000-00005C000000}"/>
    <cellStyle name="제목 1" xfId="71" xr:uid="{00000000-0005-0000-0000-00005D000000}"/>
    <cellStyle name="출력" xfId="72" xr:uid="{00000000-0005-0000-0000-00005E000000}"/>
    <cellStyle name="好" xfId="73" xr:uid="{00000000-0005-0000-0000-00005F000000}"/>
    <cellStyle name="差" xfId="74" xr:uid="{00000000-0005-0000-0000-000060000000}"/>
    <cellStyle name="强调文字颜色 1" xfId="75" xr:uid="{00000000-0005-0000-0000-000061000000}"/>
    <cellStyle name="强调文字颜色 2" xfId="76" xr:uid="{00000000-0005-0000-0000-000062000000}"/>
    <cellStyle name="强调文字颜色 3" xfId="77" xr:uid="{00000000-0005-0000-0000-000063000000}"/>
    <cellStyle name="强调文字颜色 4" xfId="78" xr:uid="{00000000-0005-0000-0000-000064000000}"/>
    <cellStyle name="强调文字颜色 5" xfId="79" xr:uid="{00000000-0005-0000-0000-000065000000}"/>
    <cellStyle name="强调文字颜色 6" xfId="80" xr:uid="{00000000-0005-0000-0000-000066000000}"/>
    <cellStyle name="标题" xfId="81" xr:uid="{00000000-0005-0000-0000-000067000000}"/>
    <cellStyle name="标题 1" xfId="82" xr:uid="{00000000-0005-0000-0000-000068000000}"/>
    <cellStyle name="标题 2" xfId="83" xr:uid="{00000000-0005-0000-0000-000069000000}"/>
    <cellStyle name="标题 3" xfId="84" xr:uid="{00000000-0005-0000-0000-00006A000000}"/>
    <cellStyle name="标题 4" xfId="85" xr:uid="{00000000-0005-0000-0000-00006B000000}"/>
    <cellStyle name="检查单元格" xfId="86" xr:uid="{00000000-0005-0000-0000-00006C000000}"/>
    <cellStyle name="汇总" xfId="87" xr:uid="{00000000-0005-0000-0000-00006D000000}"/>
    <cellStyle name="注释" xfId="88" xr:uid="{00000000-0005-0000-0000-00006E000000}"/>
    <cellStyle name="解释性文本" xfId="89" xr:uid="{00000000-0005-0000-0000-00006F000000}"/>
    <cellStyle name="警告文本" xfId="90" xr:uid="{00000000-0005-0000-0000-000070000000}"/>
    <cellStyle name="计算" xfId="91" xr:uid="{00000000-0005-0000-0000-000071000000}"/>
    <cellStyle name="输入" xfId="92" xr:uid="{00000000-0005-0000-0000-000072000000}"/>
    <cellStyle name="输出" xfId="93" xr:uid="{00000000-0005-0000-0000-000073000000}"/>
    <cellStyle name="适中" xfId="94" xr:uid="{00000000-0005-0000-0000-000074000000}"/>
    <cellStyle name="链接单元格" xfId="95" xr:uid="{00000000-0005-0000-0000-000075000000}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5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hh:mm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hh:mm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dd/mm/yyyy"/>
      <alignment horizontal="center" vertical="center" textRotation="0" wrapText="1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yayasan/sistem-absensi/SDIT/laporan-presensi_conto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rsonal"/>
      <sheetName val="Jadwal"/>
      <sheetName val="Contoh-Data"/>
      <sheetName val="IKM"/>
      <sheetName val="Contoh-Laporan"/>
      <sheetName val="Contoh-IKM"/>
      <sheetName val="RecordAbsen"/>
      <sheetName val="Bulan"/>
      <sheetName val="HariAktif"/>
      <sheetName val="Sampel RecordAbsen"/>
      <sheetName val="laporan-presensi_conto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_Umum" displayName="T_Umum" ref="G3:K8" totalsRowShown="0" headerRowDxfId="62" headerRowCellStyle="Normal 8">
  <autoFilter ref="G3:K8" xr:uid="{00000000-0009-0000-0100-000002000000}"/>
  <tableColumns count="5">
    <tableColumn id="1" xr3:uid="{00000000-0010-0000-0000-000001000000}" name="Nomor" dataDxfId="61" dataCellStyle="Normal 8"/>
    <tableColumn id="2" xr3:uid="{00000000-0010-0000-0000-000002000000}" name="Kegiatan" dataDxfId="60" dataCellStyle="Normal 8"/>
    <tableColumn id="3" xr3:uid="{00000000-0010-0000-0000-000003000000}" name="Jam Masuk" dataDxfId="59" dataCellStyle="Normal 8"/>
    <tableColumn id="4" xr3:uid="{00000000-0010-0000-0000-000004000000}" name="Jam Keluar" dataDxfId="58" dataCellStyle="Normal 8"/>
    <tableColumn id="5" xr3:uid="{00000000-0010-0000-0000-000005000000}" name="Tanggal" dataDxfId="57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_Khusus" displayName="T_Khusus" ref="M3:S8" totalsRowShown="0" headerRowDxfId="56" headerRowCellStyle="Normal 8">
  <autoFilter ref="M3:S8" xr:uid="{00000000-0009-0000-0100-000003000000}"/>
  <tableColumns count="7">
    <tableColumn id="1" xr3:uid="{00000000-0010-0000-0100-000001000000}" name="Nomor" dataDxfId="55" dataCellStyle="Normal 8"/>
    <tableColumn id="2" xr3:uid="{00000000-0010-0000-0100-000002000000}" name="Kegiatan"/>
    <tableColumn id="3" xr3:uid="{00000000-0010-0000-0100-000003000000}" name="Jam Masuk" dataDxfId="54" dataCellStyle="Normal 8"/>
    <tableColumn id="4" xr3:uid="{00000000-0010-0000-0100-000004000000}" name="Jam Keluar" dataDxfId="53" dataCellStyle="Normal 8"/>
    <tableColumn id="5" xr3:uid="{00000000-0010-0000-0100-000005000000}" name="Tanggal" dataDxfId="52" dataCellStyle="Normal 8"/>
    <tableColumn id="6" xr3:uid="{00000000-0010-0000-0100-000006000000}" name="Gukar Ids" dataDxfId="51" dataCellStyle="Normal 8"/>
    <tableColumn id="7" xr3:uid="{00000000-0010-0000-0100-000007000000}" name="Sifat" dataDxfId="50" dataCellStyle="Normal 8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_Masuk_Khusus" displayName="T_Masuk_Khusus" ref="A13:G30" totalsRowShown="0" headerRowDxfId="49" headerRowCellStyle="Normal 8">
  <autoFilter ref="A13:G30" xr:uid="{00000000-0009-0000-0100-000004000000}"/>
  <tableColumns count="7">
    <tableColumn id="1" xr3:uid="{00000000-0010-0000-0200-000001000000}" name="Nomor" dataDxfId="48" dataCellStyle="Normal 8"/>
    <tableColumn id="2" xr3:uid="{00000000-0010-0000-0200-000002000000}" name="Kegiatan" dataDxfId="47" dataCellStyle="Normal 8"/>
    <tableColumn id="3" xr3:uid="{00000000-0010-0000-0200-000003000000}" name="Jam Masuk" dataDxfId="46" dataCellStyle="Normal 8"/>
    <tableColumn id="4" xr3:uid="{00000000-0010-0000-0200-000004000000}" name="Jam Keluar" dataDxfId="45" dataCellStyle="Normal 8"/>
    <tableColumn id="5" xr3:uid="{00000000-0010-0000-0200-000005000000}" name="Tanggal" dataDxfId="44" dataCellStyle="Normal 8"/>
    <tableColumn id="6" xr3:uid="{00000000-0010-0000-0200-000006000000}" name="Gukar ID" dataDxfId="43" dataCellStyle="Normal 8"/>
    <tableColumn id="7" xr3:uid="{00ABE203-2154-45DE-A6F5-EFB914B6876E}" name="Column1" dataDxfId="42" dataCellStyle="Normal 8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_Jadwal_Reguler" displayName="T_Jadwal_Reguler" ref="D3:E5" totalsRowShown="0" headerRowDxfId="41" dataDxfId="40" headerRowCellStyle="Normal 8" dataCellStyle="Normal 8">
  <autoFilter ref="D3:E5" xr:uid="{00000000-0009-0000-0100-000005000000}"/>
  <tableColumns count="2">
    <tableColumn id="1" xr3:uid="{00000000-0010-0000-0300-000001000000}" name="Jam Masuk" dataDxfId="39" dataCellStyle="Normal 8"/>
    <tableColumn id="2" xr3:uid="{00000000-0010-0000-0300-000002000000}" name="Jam Keluar" dataDxfId="38" dataCellStyle="Normal 8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_Libur_Mingguan" displayName="T_Libur_Mingguan" ref="I13:I14" totalsRowShown="0">
  <autoFilter ref="I13:I14" xr:uid="{00000000-0009-0000-0100-000006000000}"/>
  <tableColumns count="1">
    <tableColumn id="1" xr3:uid="{00000000-0010-0000-0400-000001000000}" name="Hari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_Libur" displayName="T_Libur" ref="K13:K20" totalsRowShown="0" headerRowDxfId="37">
  <autoFilter ref="K13:K20" xr:uid="{00000000-0009-0000-0100-000007000000}"/>
  <tableColumns count="1">
    <tableColumn id="1" xr3:uid="{00000000-0010-0000-0500-000001000000}" name="Libur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_Khusus_Prioritas" displayName="T_Khusus_Prioritas" ref="M13:S29" totalsRowShown="0" headerRowDxfId="36" dataDxfId="35" headerRowCellStyle="Normal 8">
  <autoFilter ref="M13:S29" xr:uid="{00000000-0009-0000-0100-000008000000}"/>
  <tableColumns count="7">
    <tableColumn id="1" xr3:uid="{00000000-0010-0000-0600-000001000000}" name="Nomor" dataDxfId="34" dataCellStyle="Normal 8"/>
    <tableColumn id="2" xr3:uid="{00000000-0010-0000-0600-000002000000}" name="Kegiatan" dataDxfId="33" dataCellStyle="Normal 8"/>
    <tableColumn id="3" xr3:uid="{00000000-0010-0000-0600-000003000000}" name="Jam Masuk" dataDxfId="32" dataCellStyle="Normal 8"/>
    <tableColumn id="4" xr3:uid="{00000000-0010-0000-0600-000004000000}" name="Jam Keluar" dataDxfId="31" dataCellStyle="Normal 8"/>
    <tableColumn id="5" xr3:uid="{00000000-0010-0000-0600-000005000000}" name="Tanggal" dataDxfId="30" dataCellStyle="Normal 8"/>
    <tableColumn id="6" xr3:uid="{00000000-0010-0000-0600-000006000000}" name="Gukar Ids" dataDxfId="29" dataCellStyle="Normal 8"/>
    <tableColumn id="7" xr3:uid="{00000000-0010-0000-0600-000007000000}" name="Sifat" dataDxfId="28" dataCellStyle="Normal 8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_Jadwal_Piket" displayName="T_Jadwal_Piket" ref="B41:D47" totalsRowShown="0" headerRowDxfId="27" dataDxfId="26" headerRowCellStyle="Normal 8" dataCellStyle="Normal 8">
  <autoFilter ref="B41:D47" xr:uid="{00000000-0009-0000-0100-000009000000}"/>
  <tableColumns count="3">
    <tableColumn id="1" xr3:uid="{00000000-0010-0000-0700-000001000000}" name="Hari" dataDxfId="25" dataCellStyle="Normal 8"/>
    <tableColumn id="2" xr3:uid="{00000000-0010-0000-0700-000002000000}" name="Jam Masuk" dataDxfId="24" dataCellStyle="Normal 8"/>
    <tableColumn id="3" xr3:uid="{00000000-0010-0000-0700-000003000000}" name="Jam Keluar" dataDxfId="23" dataCellStyle="Normal 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T_Unit" displayName="T_Unit" ref="B3:B4" totalsRowShown="0" headerRowDxfId="22" dataDxfId="21">
  <autoFilter ref="B3:B4" xr:uid="{00000000-0009-0000-0100-00000A000000}"/>
  <tableColumns count="1">
    <tableColumn id="1" xr3:uid="{00000000-0010-0000-0800-000001000000}" name="Unit" dataDxfId="2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_Prioritas_Piket" displayName="T_Prioritas_Piket" ref="F42:G44" totalsRowShown="0" headerRowDxfId="19" headerRowCellStyle="Normal 8">
  <autoFilter ref="F42:G44" xr:uid="{00000000-0009-0000-0100-00000B000000}"/>
  <tableColumns count="2">
    <tableColumn id="1" xr3:uid="{00000000-0010-0000-0900-000001000000}" name="Kegiatan"/>
    <tableColumn id="2" xr3:uid="{00000000-0010-0000-0900-000002000000}" name="Tangg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A000000}" name="T_Personal" displayName="T_Personal" ref="A1:P5" totalsRowShown="0" headerRowDxfId="18" headerRowBorderDxfId="17" tableBorderDxfId="16">
  <autoFilter ref="A1:P5" xr:uid="{00000000-0009-0000-0100-000015000000}"/>
  <tableColumns count="16">
    <tableColumn id="1" xr3:uid="{00000000-0010-0000-0A00-000001000000}" name="ID" dataDxfId="15" dataCellStyle="Normal 8"/>
    <tableColumn id="3" xr3:uid="{00000000-0010-0000-0A00-000003000000}" name="POS" dataDxfId="14" dataCellStyle="Normal 8"/>
    <tableColumn id="4" xr3:uid="{00000000-0010-0000-0A00-000004000000}" name="NAMA" dataDxfId="13"/>
    <tableColumn id="5" xr3:uid="{00000000-0010-0000-0A00-000005000000}" name="NRY" dataDxfId="12"/>
    <tableColumn id="6" xr3:uid="{00000000-0010-0000-0A00-000006000000}" name="JABATAN" dataDxfId="11"/>
    <tableColumn id="7" xr3:uid="{00000000-0010-0000-0A00-000007000000}" name="GURU QIRO'ATI" dataDxfId="10" dataCellStyle="Normal 8"/>
    <tableColumn id="8" xr3:uid="{00000000-0010-0000-0A00-000008000000}" name="HARI PIKET" dataDxfId="9" dataCellStyle="Normal 8"/>
    <tableColumn id="2" xr3:uid="{00000000-0010-0000-0A00-000002000000}" name="Cuti" dataDxfId="8" dataCellStyle="Normal 8"/>
    <tableColumn id="9" xr3:uid="{00000000-0010-0000-0A00-000009000000}" name="Izin" dataDxfId="7" dataCellStyle="Normal 8"/>
    <tableColumn id="10" xr3:uid="{00000000-0010-0000-0A00-00000A000000}" name="Sakit" dataDxfId="6" dataCellStyle="Normal 8"/>
    <tableColumn id="14" xr3:uid="{00000000-0010-0000-0A00-00000E000000}" name="DLTR" dataDxfId="5" dataCellStyle="Normal 8"/>
    <tableColumn id="13" xr3:uid="{00000000-0010-0000-0A00-00000D000000}" name="DLNT" dataDxfId="4" dataCellStyle="Normal 8"/>
    <tableColumn id="11" xr3:uid="{00000000-0010-0000-0A00-00000B000000}" name="PLTH" dataDxfId="3" dataCellStyle="Normal 8"/>
    <tableColumn id="12" xr3:uid="{00000000-0010-0000-0A00-00000C000000}" name="Aktif" dataDxfId="2" dataCellStyle="Normal 8"/>
    <tableColumn id="15" xr3:uid="{00000000-0010-0000-0A00-00000F000000}" name="Masuk" dataDxfId="1" dataCellStyle="Normal 8"/>
    <tableColumn id="16" xr3:uid="{00000000-0010-0000-0A00-000010000000}" name="Keluar" dataDxfId="0" dataCellStyle="Normal 8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1"/>
  <dimension ref="A2:AI55"/>
  <sheetViews>
    <sheetView zoomScale="90" zoomScaleNormal="99" workbookViewId="0">
      <selection activeCell="F5" sqref="F5"/>
    </sheetView>
  </sheetViews>
  <sheetFormatPr defaultColWidth="8.81640625" defaultRowHeight="12.5"/>
  <cols>
    <col min="1" max="1" width="8.81640625" style="16" customWidth="1"/>
    <col min="2" max="2" width="29.1796875" style="16" customWidth="1"/>
    <col min="3" max="3" width="12.54296875" style="16" customWidth="1"/>
    <col min="4" max="4" width="13.54296875" style="16" customWidth="1"/>
    <col min="5" max="5" width="11.54296875" style="16" customWidth="1"/>
    <col min="6" max="6" width="19" style="16" customWidth="1"/>
    <col min="7" max="7" width="14.54296875" style="16" customWidth="1"/>
    <col min="8" max="8" width="26" style="16" customWidth="1"/>
    <col min="9" max="9" width="13" style="16" bestFit="1" customWidth="1"/>
    <col min="10" max="10" width="15.453125" style="16" bestFit="1" customWidth="1"/>
    <col min="11" max="11" width="13.1796875" style="16" customWidth="1"/>
    <col min="12" max="12" width="8.81640625" style="16"/>
    <col min="13" max="13" width="9.1796875" style="16" bestFit="1" customWidth="1"/>
    <col min="14" max="14" width="40.453125" style="16" customWidth="1"/>
    <col min="15" max="15" width="15.1796875" style="16" customWidth="1"/>
    <col min="16" max="16" width="14.81640625" style="16" customWidth="1"/>
    <col min="17" max="17" width="15.1796875" style="43" customWidth="1"/>
    <col min="18" max="18" width="17.26953125" style="16" customWidth="1"/>
    <col min="19" max="19" width="13.1796875" style="16" customWidth="1"/>
    <col min="20" max="16384" width="8.81640625" style="16"/>
  </cols>
  <sheetData>
    <row r="2" spans="1:19" ht="26.5" customHeight="1">
      <c r="B2" s="28" t="s">
        <v>322</v>
      </c>
      <c r="D2" s="137" t="s">
        <v>327</v>
      </c>
      <c r="E2" s="137"/>
      <c r="G2" s="137" t="s">
        <v>328</v>
      </c>
      <c r="H2" s="137"/>
      <c r="I2" s="137"/>
      <c r="J2" s="137"/>
      <c r="K2" s="137"/>
      <c r="M2" s="137" t="s">
        <v>323</v>
      </c>
      <c r="N2" s="137"/>
      <c r="O2" s="137"/>
      <c r="P2" s="137"/>
      <c r="Q2" s="137"/>
      <c r="R2" s="137"/>
      <c r="S2" s="137"/>
    </row>
    <row r="3" spans="1:19">
      <c r="B3" s="16" t="s">
        <v>326</v>
      </c>
      <c r="D3" s="16" t="s">
        <v>317</v>
      </c>
      <c r="E3" s="16" t="s">
        <v>318</v>
      </c>
      <c r="G3" s="16" t="s">
        <v>315</v>
      </c>
      <c r="H3" s="16" t="s">
        <v>316</v>
      </c>
      <c r="I3" s="16" t="s">
        <v>317</v>
      </c>
      <c r="J3" s="16" t="s">
        <v>318</v>
      </c>
      <c r="K3" s="16" t="s">
        <v>319</v>
      </c>
      <c r="M3" s="16" t="s">
        <v>315</v>
      </c>
      <c r="N3" s="16" t="s">
        <v>316</v>
      </c>
      <c r="O3" s="16" t="s">
        <v>317</v>
      </c>
      <c r="P3" s="16" t="s">
        <v>318</v>
      </c>
      <c r="Q3" s="43" t="s">
        <v>319</v>
      </c>
      <c r="R3" s="16" t="s">
        <v>320</v>
      </c>
      <c r="S3" s="29" t="s">
        <v>329</v>
      </c>
    </row>
    <row r="4" spans="1:19" ht="123" customHeight="1">
      <c r="B4" s="34" t="s">
        <v>358</v>
      </c>
      <c r="C4" s="30"/>
      <c r="D4" s="35">
        <v>0.33333333333333331</v>
      </c>
      <c r="E4" s="35">
        <v>0.60416666666666663</v>
      </c>
      <c r="G4" s="23">
        <v>1</v>
      </c>
      <c r="H4" s="93" t="s">
        <v>356</v>
      </c>
      <c r="I4" s="35">
        <v>0.33333333333333331</v>
      </c>
      <c r="J4" s="35">
        <v>0.54166666666666663</v>
      </c>
      <c r="K4" s="48" t="s">
        <v>360</v>
      </c>
      <c r="M4" s="23"/>
      <c r="N4" s="34"/>
      <c r="O4" s="35"/>
      <c r="P4" s="35"/>
      <c r="Q4" s="62"/>
      <c r="R4" s="97"/>
      <c r="S4" s="94"/>
    </row>
    <row r="5" spans="1:19" ht="81.75" customHeight="1">
      <c r="C5" s="30"/>
      <c r="D5" s="32"/>
      <c r="E5" s="32"/>
      <c r="G5" s="23"/>
      <c r="H5" s="50"/>
      <c r="I5" s="52"/>
      <c r="J5" s="52"/>
      <c r="K5" s="62"/>
      <c r="M5" s="23"/>
      <c r="N5" s="34"/>
      <c r="O5" s="35"/>
      <c r="P5" s="35"/>
      <c r="Q5" s="62"/>
      <c r="R5" s="97"/>
      <c r="S5" s="94"/>
    </row>
    <row r="6" spans="1:19">
      <c r="C6" s="30"/>
      <c r="D6" s="32"/>
      <c r="E6" s="32"/>
      <c r="G6" s="23"/>
      <c r="H6" s="34"/>
      <c r="I6" s="52"/>
      <c r="J6" s="52"/>
      <c r="K6" s="62"/>
      <c r="M6" s="29"/>
      <c r="O6" s="32"/>
      <c r="P6" s="45"/>
      <c r="Q6" s="51"/>
      <c r="R6" s="29"/>
    </row>
    <row r="7" spans="1:19" ht="24" customHeight="1">
      <c r="C7" s="30"/>
      <c r="D7" s="32"/>
      <c r="E7" s="32"/>
      <c r="G7" s="51"/>
      <c r="H7" s="53"/>
      <c r="I7" s="52"/>
      <c r="J7" s="52"/>
      <c r="K7" s="74"/>
      <c r="O7" s="21"/>
      <c r="P7" s="21"/>
      <c r="Q7" s="61"/>
    </row>
    <row r="8" spans="1:19">
      <c r="C8" s="30"/>
      <c r="D8" s="32"/>
      <c r="E8" s="32"/>
      <c r="I8" s="21"/>
      <c r="J8" s="21"/>
      <c r="K8" s="62"/>
      <c r="O8" s="21"/>
      <c r="P8" s="21"/>
      <c r="Q8" s="61"/>
    </row>
    <row r="9" spans="1:19">
      <c r="C9" s="30"/>
      <c r="D9" s="32"/>
      <c r="E9" s="32"/>
      <c r="G9" s="29"/>
      <c r="H9" s="29"/>
      <c r="I9" s="32"/>
      <c r="J9" s="32"/>
      <c r="K9" s="22"/>
    </row>
    <row r="10" spans="1:19">
      <c r="C10" s="30"/>
      <c r="D10" s="32"/>
      <c r="E10" s="32"/>
      <c r="G10" s="29"/>
      <c r="H10" s="29"/>
      <c r="I10" s="32"/>
      <c r="J10" s="32"/>
      <c r="K10" s="22"/>
    </row>
    <row r="11" spans="1:19">
      <c r="C11" s="30"/>
    </row>
    <row r="12" spans="1:19" ht="25">
      <c r="A12" s="137" t="s">
        <v>354</v>
      </c>
      <c r="B12" s="137"/>
      <c r="C12" s="137"/>
      <c r="D12" s="137"/>
      <c r="E12" s="137"/>
      <c r="F12" s="137"/>
      <c r="I12" s="33" t="s">
        <v>331</v>
      </c>
      <c r="K12" s="28" t="s">
        <v>332</v>
      </c>
      <c r="M12" s="137" t="s">
        <v>336</v>
      </c>
      <c r="N12" s="137"/>
      <c r="O12" s="137"/>
      <c r="P12" s="137"/>
      <c r="Q12" s="137"/>
      <c r="R12" s="137"/>
      <c r="S12" s="137"/>
    </row>
    <row r="13" spans="1:19">
      <c r="A13" s="16" t="s">
        <v>315</v>
      </c>
      <c r="B13" s="16" t="s">
        <v>316</v>
      </c>
      <c r="C13" s="16" t="s">
        <v>317</v>
      </c>
      <c r="D13" s="16" t="s">
        <v>318</v>
      </c>
      <c r="E13" s="16" t="s">
        <v>319</v>
      </c>
      <c r="F13" s="16" t="s">
        <v>333</v>
      </c>
      <c r="G13" s="16" t="s">
        <v>357</v>
      </c>
      <c r="I13" s="16" t="s">
        <v>330</v>
      </c>
      <c r="K13" s="16" t="s">
        <v>334</v>
      </c>
      <c r="M13" s="16" t="s">
        <v>315</v>
      </c>
      <c r="N13" s="16" t="s">
        <v>316</v>
      </c>
      <c r="O13" s="16" t="s">
        <v>317</v>
      </c>
      <c r="P13" s="16" t="s">
        <v>318</v>
      </c>
      <c r="Q13" s="43" t="s">
        <v>319</v>
      </c>
      <c r="R13" s="16" t="s">
        <v>320</v>
      </c>
      <c r="S13" s="29" t="s">
        <v>329</v>
      </c>
    </row>
    <row r="14" spans="1:19" ht="25" customHeight="1">
      <c r="A14" s="92"/>
      <c r="B14" s="93"/>
      <c r="C14" s="100"/>
      <c r="D14" s="100"/>
      <c r="E14" s="103"/>
      <c r="F14" s="97"/>
      <c r="I14" s="16" t="s">
        <v>335</v>
      </c>
      <c r="K14" s="30">
        <v>45023</v>
      </c>
      <c r="M14" s="92">
        <v>1</v>
      </c>
      <c r="N14" s="93" t="s">
        <v>359</v>
      </c>
      <c r="O14" s="128">
        <v>0.33333333333333331</v>
      </c>
      <c r="P14" s="128">
        <v>0.70833333333333337</v>
      </c>
      <c r="Q14" s="110" t="s">
        <v>361</v>
      </c>
      <c r="R14" s="97">
        <v>1</v>
      </c>
      <c r="S14" s="94" t="s">
        <v>319</v>
      </c>
    </row>
    <row r="15" spans="1:19" ht="25" customHeight="1">
      <c r="A15" s="92"/>
      <c r="B15" s="93"/>
      <c r="C15" s="100"/>
      <c r="D15" s="100"/>
      <c r="E15" s="103"/>
      <c r="F15" s="97"/>
      <c r="K15" s="30"/>
      <c r="M15" s="23">
        <v>2</v>
      </c>
      <c r="N15" s="34" t="s">
        <v>362</v>
      </c>
      <c r="O15" s="35">
        <v>0.37083333333333335</v>
      </c>
      <c r="P15" s="35">
        <v>0.73819444444444438</v>
      </c>
      <c r="Q15" s="62">
        <v>45013</v>
      </c>
      <c r="R15" s="102">
        <v>1</v>
      </c>
      <c r="S15" s="34" t="s">
        <v>319</v>
      </c>
    </row>
    <row r="16" spans="1:19" ht="25" customHeight="1">
      <c r="A16" s="92"/>
      <c r="B16" s="93"/>
      <c r="C16" s="100"/>
      <c r="D16" s="100"/>
      <c r="E16" s="48"/>
      <c r="F16" s="97"/>
      <c r="K16" s="30"/>
      <c r="M16" s="23">
        <v>3</v>
      </c>
      <c r="N16" s="34" t="s">
        <v>364</v>
      </c>
      <c r="O16" s="35">
        <v>0.51944444444444449</v>
      </c>
      <c r="P16" s="35">
        <v>0.7319444444444444</v>
      </c>
      <c r="Q16" s="62">
        <v>45020</v>
      </c>
      <c r="R16" s="102">
        <v>1</v>
      </c>
      <c r="S16" s="34" t="s">
        <v>319</v>
      </c>
    </row>
    <row r="17" spans="1:35" ht="25" customHeight="1">
      <c r="A17" s="51"/>
      <c r="B17" s="93"/>
      <c r="C17" s="100"/>
      <c r="D17" s="100"/>
      <c r="E17" s="48"/>
      <c r="F17" s="63"/>
      <c r="K17" s="30"/>
      <c r="M17" s="23">
        <v>4</v>
      </c>
      <c r="N17" s="34" t="s">
        <v>363</v>
      </c>
      <c r="O17" s="35">
        <v>0.33749999999999997</v>
      </c>
      <c r="P17" s="35">
        <v>0.68472222222222223</v>
      </c>
      <c r="Q17" s="62">
        <v>45026</v>
      </c>
      <c r="R17" s="102">
        <v>1</v>
      </c>
      <c r="S17" s="34" t="s">
        <v>319</v>
      </c>
    </row>
    <row r="18" spans="1:35" ht="25" customHeight="1">
      <c r="A18" s="23"/>
      <c r="B18" s="34"/>
      <c r="C18" s="111"/>
      <c r="D18" s="111"/>
      <c r="E18" s="48"/>
      <c r="F18" s="63"/>
      <c r="K18" s="30"/>
      <c r="M18" s="23">
        <v>5</v>
      </c>
      <c r="N18" s="34" t="s">
        <v>365</v>
      </c>
      <c r="O18" s="35">
        <v>0.38541666666666669</v>
      </c>
      <c r="P18" s="35">
        <v>0.70833333333333337</v>
      </c>
      <c r="Q18" s="62">
        <v>45027</v>
      </c>
      <c r="R18" s="102">
        <v>1</v>
      </c>
      <c r="S18" s="34" t="s">
        <v>319</v>
      </c>
    </row>
    <row r="19" spans="1:35" ht="92.25" customHeight="1">
      <c r="A19" s="23"/>
      <c r="B19" s="34"/>
      <c r="C19" s="111"/>
      <c r="D19" s="111"/>
      <c r="E19" s="48"/>
      <c r="F19" s="63"/>
      <c r="K19" s="46"/>
      <c r="M19" s="23">
        <v>6</v>
      </c>
      <c r="N19" s="34" t="s">
        <v>370</v>
      </c>
      <c r="O19" s="35" t="s">
        <v>368</v>
      </c>
      <c r="P19" s="35" t="s">
        <v>369</v>
      </c>
      <c r="Q19" s="62" t="s">
        <v>371</v>
      </c>
      <c r="R19" s="102" t="s">
        <v>372</v>
      </c>
      <c r="S19" s="34" t="s">
        <v>319</v>
      </c>
    </row>
    <row r="20" spans="1:35" ht="96" customHeight="1">
      <c r="A20" s="23"/>
      <c r="B20" s="34"/>
      <c r="C20" s="101"/>
      <c r="D20" s="101"/>
      <c r="E20" s="62"/>
      <c r="F20" s="63"/>
      <c r="K20" s="46"/>
      <c r="M20" s="23">
        <v>7</v>
      </c>
      <c r="N20" s="34" t="s">
        <v>373</v>
      </c>
      <c r="O20" s="35" t="s">
        <v>366</v>
      </c>
      <c r="P20" s="35" t="s">
        <v>367</v>
      </c>
      <c r="Q20" s="62" t="s">
        <v>371</v>
      </c>
      <c r="R20" s="102">
        <v>3</v>
      </c>
      <c r="S20" s="34" t="s">
        <v>319</v>
      </c>
    </row>
    <row r="21" spans="1:35" ht="62.25" customHeight="1">
      <c r="A21" s="23"/>
      <c r="B21" s="34"/>
      <c r="C21" s="101"/>
      <c r="D21" s="101"/>
      <c r="E21" s="62"/>
      <c r="F21" s="63"/>
      <c r="M21" s="23"/>
      <c r="N21" s="34"/>
      <c r="O21" s="35"/>
      <c r="P21" s="35"/>
      <c r="Q21" s="62"/>
      <c r="R21" s="102"/>
      <c r="S21" s="34"/>
    </row>
    <row r="22" spans="1:35" ht="75.75" customHeight="1">
      <c r="A22" s="51"/>
      <c r="B22" s="93"/>
      <c r="C22" s="96"/>
      <c r="D22" s="82"/>
      <c r="E22" s="48"/>
      <c r="F22" s="63"/>
      <c r="G22" s="94"/>
      <c r="M22" s="51"/>
      <c r="N22" s="93"/>
      <c r="O22" s="126"/>
      <c r="P22" s="126"/>
      <c r="Q22" s="48"/>
      <c r="R22" s="63"/>
      <c r="S22" s="94"/>
    </row>
    <row r="23" spans="1:35" ht="25" customHeight="1">
      <c r="A23" s="23"/>
      <c r="B23" s="34"/>
      <c r="C23" s="111"/>
      <c r="D23" s="111"/>
      <c r="E23" s="62"/>
      <c r="F23" s="63"/>
      <c r="G23" s="94"/>
      <c r="M23" s="23"/>
      <c r="N23" s="34"/>
      <c r="O23" s="126"/>
      <c r="P23" s="126"/>
      <c r="Q23" s="62"/>
      <c r="R23" s="63"/>
      <c r="S23" s="94"/>
    </row>
    <row r="24" spans="1:35" ht="25" customHeight="1">
      <c r="A24" s="23"/>
      <c r="B24" s="34"/>
      <c r="C24" s="21"/>
      <c r="D24" s="21"/>
      <c r="E24" s="48"/>
      <c r="F24" s="123"/>
      <c r="G24" s="94"/>
      <c r="H24" s="43"/>
      <c r="M24" s="23"/>
      <c r="N24" s="34"/>
      <c r="O24" s="126"/>
      <c r="P24" s="126"/>
      <c r="Q24" s="62"/>
      <c r="R24" s="63"/>
      <c r="S24" s="94"/>
      <c r="AH24" s="31"/>
      <c r="AI24" s="31"/>
    </row>
    <row r="25" spans="1:35" ht="25" customHeight="1">
      <c r="A25" s="23"/>
      <c r="B25" s="34"/>
      <c r="C25" s="21"/>
      <c r="D25" s="21"/>
      <c r="E25" s="48"/>
      <c r="F25" s="123"/>
      <c r="G25" s="94"/>
      <c r="M25" s="23"/>
      <c r="N25" s="34"/>
      <c r="O25" s="126"/>
      <c r="P25" s="126"/>
      <c r="Q25" s="62"/>
      <c r="R25" s="63"/>
      <c r="S25" s="94"/>
    </row>
    <row r="26" spans="1:35" ht="27" customHeight="1">
      <c r="A26" s="23"/>
      <c r="B26" s="34"/>
      <c r="C26" s="21"/>
      <c r="D26" s="21"/>
      <c r="E26" s="124"/>
      <c r="F26" s="123"/>
      <c r="G26" s="94"/>
      <c r="H26" s="21"/>
      <c r="M26" s="23"/>
      <c r="N26" s="34"/>
      <c r="O26" s="100"/>
      <c r="P26" s="96"/>
      <c r="Q26" s="62"/>
      <c r="R26" s="97"/>
      <c r="S26" s="94"/>
    </row>
    <row r="27" spans="1:35">
      <c r="A27" s="51"/>
      <c r="B27" s="34"/>
      <c r="C27" s="121"/>
      <c r="D27" s="111"/>
      <c r="E27" s="62"/>
      <c r="F27" s="63"/>
      <c r="G27" s="94"/>
      <c r="M27" s="51"/>
      <c r="N27" s="34"/>
      <c r="O27" s="121"/>
      <c r="P27" s="111"/>
      <c r="Q27" s="62"/>
      <c r="R27" s="63"/>
      <c r="S27" s="94"/>
      <c r="U27" s="43"/>
      <c r="V27" s="43"/>
      <c r="W27" s="43"/>
    </row>
    <row r="28" spans="1:35">
      <c r="A28" s="23"/>
      <c r="B28" s="34"/>
      <c r="C28" s="111"/>
      <c r="D28" s="111"/>
      <c r="E28" s="62"/>
      <c r="F28" s="102"/>
      <c r="G28" s="34"/>
      <c r="M28" s="23"/>
      <c r="N28" s="34"/>
      <c r="O28" s="111"/>
      <c r="P28" s="111"/>
      <c r="Q28" s="62"/>
      <c r="R28" s="102"/>
      <c r="S28" s="34"/>
    </row>
    <row r="29" spans="1:35">
      <c r="A29" s="23"/>
      <c r="B29" s="34"/>
      <c r="C29" s="111"/>
      <c r="D29" s="111"/>
      <c r="E29" s="62"/>
      <c r="F29" s="102"/>
      <c r="G29" s="34"/>
      <c r="I29" s="30"/>
      <c r="M29" s="23"/>
      <c r="N29" s="34"/>
      <c r="O29" s="111"/>
      <c r="P29" s="111"/>
      <c r="Q29" s="62"/>
      <c r="R29" s="102"/>
      <c r="S29" s="34"/>
    </row>
    <row r="30" spans="1:35">
      <c r="A30" s="23"/>
      <c r="B30" s="34"/>
      <c r="C30" s="101"/>
      <c r="D30" s="101"/>
      <c r="E30" s="62"/>
      <c r="F30" s="63"/>
      <c r="G30" s="125"/>
      <c r="I30" s="30"/>
      <c r="M30" s="30"/>
    </row>
    <row r="31" spans="1:35">
      <c r="A31" s="43"/>
      <c r="I31" s="30"/>
      <c r="M31" s="30"/>
    </row>
    <row r="32" spans="1:35">
      <c r="I32" s="30"/>
      <c r="M32" s="30"/>
    </row>
    <row r="33" spans="1:13">
      <c r="C33" s="21"/>
      <c r="D33" s="21"/>
      <c r="E33" s="31"/>
      <c r="I33" s="30"/>
      <c r="M33" s="36"/>
    </row>
    <row r="34" spans="1:13">
      <c r="A34" s="29"/>
      <c r="B34" s="29"/>
      <c r="C34" s="32"/>
      <c r="D34" s="32"/>
      <c r="E34" s="30"/>
      <c r="M34" s="36"/>
    </row>
    <row r="35" spans="1:13">
      <c r="G35" s="43"/>
      <c r="M35" s="36"/>
    </row>
    <row r="36" spans="1:13">
      <c r="G36" s="29"/>
    </row>
    <row r="37" spans="1:13">
      <c r="A37" s="43"/>
      <c r="B37" s="43"/>
      <c r="C37" s="43"/>
      <c r="D37" s="43"/>
      <c r="E37" s="43"/>
      <c r="F37" s="43"/>
    </row>
    <row r="39" spans="1:13">
      <c r="B39" s="31"/>
      <c r="C39" s="21"/>
      <c r="D39" s="21"/>
      <c r="E39" s="31"/>
      <c r="F39" s="31"/>
      <c r="K39" s="37"/>
    </row>
    <row r="40" spans="1:13">
      <c r="B40" s="137" t="s">
        <v>349</v>
      </c>
      <c r="C40" s="137"/>
      <c r="D40" s="137"/>
    </row>
    <row r="41" spans="1:13">
      <c r="B41" s="43" t="s">
        <v>330</v>
      </c>
      <c r="C41" s="43" t="s">
        <v>317</v>
      </c>
      <c r="D41" s="43" t="s">
        <v>318</v>
      </c>
      <c r="F41" s="137" t="s">
        <v>355</v>
      </c>
      <c r="G41" s="137"/>
    </row>
    <row r="42" spans="1:13">
      <c r="B42" s="43"/>
      <c r="C42" s="19"/>
      <c r="D42" s="19"/>
      <c r="F42" s="43" t="s">
        <v>316</v>
      </c>
      <c r="G42" s="43" t="s">
        <v>319</v>
      </c>
    </row>
    <row r="43" spans="1:13">
      <c r="B43" s="20"/>
      <c r="C43" s="19"/>
      <c r="D43" s="19"/>
      <c r="F43" s="59"/>
      <c r="G43" s="54"/>
    </row>
    <row r="44" spans="1:13">
      <c r="A44" s="43"/>
      <c r="B44" s="20"/>
      <c r="C44" s="19"/>
      <c r="D44" s="19"/>
      <c r="F44" s="20"/>
      <c r="G44" s="55"/>
    </row>
    <row r="45" spans="1:13">
      <c r="B45" s="20"/>
      <c r="C45" s="19"/>
      <c r="D45" s="19"/>
      <c r="E45" s="43"/>
    </row>
    <row r="46" spans="1:13">
      <c r="B46" s="20"/>
      <c r="C46" s="19"/>
      <c r="D46" s="19"/>
    </row>
    <row r="47" spans="1:13">
      <c r="B47" s="43"/>
      <c r="C47" s="19"/>
      <c r="D47" s="24"/>
      <c r="E47" s="31"/>
    </row>
    <row r="49" spans="1:6">
      <c r="A49" s="136"/>
      <c r="B49" s="136"/>
      <c r="C49" s="136"/>
      <c r="D49" s="136"/>
      <c r="E49" s="136"/>
      <c r="F49" s="136"/>
    </row>
    <row r="52" spans="1:6">
      <c r="E52" s="30"/>
    </row>
    <row r="53" spans="1:6">
      <c r="A53" s="43"/>
      <c r="B53" s="43"/>
    </row>
    <row r="55" spans="1:6">
      <c r="A55" s="21"/>
      <c r="B55" s="21"/>
    </row>
  </sheetData>
  <mergeCells count="8">
    <mergeCell ref="A49:F49"/>
    <mergeCell ref="D2:E2"/>
    <mergeCell ref="G2:K2"/>
    <mergeCell ref="M2:S2"/>
    <mergeCell ref="A12:F12"/>
    <mergeCell ref="M12:S12"/>
    <mergeCell ref="B40:D40"/>
    <mergeCell ref="F41:G41"/>
  </mergeCells>
  <pageMargins left="0.7" right="0.7" top="0.75" bottom="0.75" header="0.3" footer="0.3"/>
  <pageSetup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P5"/>
  <sheetViews>
    <sheetView zoomScale="70" zoomScaleNormal="70" workbookViewId="0">
      <selection activeCell="F3" sqref="F3"/>
    </sheetView>
  </sheetViews>
  <sheetFormatPr defaultColWidth="8.81640625" defaultRowHeight="12.5"/>
  <cols>
    <col min="1" max="1" width="7.81640625" style="16" customWidth="1"/>
    <col min="2" max="2" width="9.1796875" style="16" customWidth="1"/>
    <col min="3" max="3" width="30.26953125" style="16" customWidth="1"/>
    <col min="4" max="4" width="20.26953125" style="16" customWidth="1"/>
    <col min="5" max="5" width="36.26953125" style="16" customWidth="1"/>
    <col min="6" max="6" width="20.1796875" style="16" customWidth="1"/>
    <col min="7" max="7" width="16.7265625" style="16" customWidth="1"/>
    <col min="8" max="8" width="43.54296875" style="16" customWidth="1"/>
    <col min="9" max="9" width="24" style="16" customWidth="1"/>
    <col min="10" max="10" width="24.7265625" style="16" customWidth="1"/>
    <col min="11" max="11" width="21.54296875" style="16" customWidth="1"/>
    <col min="12" max="12" width="11.54296875" style="16" customWidth="1"/>
    <col min="13" max="13" width="13" style="16" customWidth="1"/>
    <col min="14" max="14" width="26" style="16" customWidth="1"/>
    <col min="15" max="15" width="12.1796875" style="16" customWidth="1"/>
    <col min="16" max="16384" width="8.81640625" style="16"/>
  </cols>
  <sheetData>
    <row r="1" spans="1:16">
      <c r="A1" s="38" t="s">
        <v>337</v>
      </c>
      <c r="B1" s="39" t="s">
        <v>338</v>
      </c>
      <c r="C1" s="39" t="s">
        <v>339</v>
      </c>
      <c r="D1" s="39" t="s">
        <v>24</v>
      </c>
      <c r="E1" s="39" t="s">
        <v>340</v>
      </c>
      <c r="F1" s="39" t="s">
        <v>341</v>
      </c>
      <c r="G1" s="40" t="s">
        <v>342</v>
      </c>
      <c r="H1" s="41" t="s">
        <v>343</v>
      </c>
      <c r="I1" s="41" t="s">
        <v>344</v>
      </c>
      <c r="J1" s="41" t="s">
        <v>345</v>
      </c>
      <c r="K1" s="41" t="s">
        <v>325</v>
      </c>
      <c r="L1" s="41" t="s">
        <v>324</v>
      </c>
      <c r="M1" s="41" t="s">
        <v>321</v>
      </c>
      <c r="N1" s="41" t="s">
        <v>346</v>
      </c>
      <c r="O1" s="41" t="s">
        <v>347</v>
      </c>
      <c r="P1" s="41" t="s">
        <v>348</v>
      </c>
    </row>
    <row r="2" spans="1:16" ht="69" customHeight="1">
      <c r="A2" s="23">
        <v>1</v>
      </c>
      <c r="B2" s="42"/>
      <c r="C2" s="81" t="s">
        <v>375</v>
      </c>
      <c r="D2" s="56"/>
      <c r="E2" s="44"/>
      <c r="F2" s="68"/>
      <c r="G2" s="69"/>
      <c r="H2" s="114"/>
      <c r="I2" s="86"/>
      <c r="J2" s="110"/>
      <c r="K2" s="17"/>
      <c r="L2" s="18"/>
      <c r="M2" s="49"/>
      <c r="N2" s="47"/>
      <c r="O2" s="17"/>
      <c r="P2" s="17"/>
    </row>
    <row r="3" spans="1:16" ht="116.25" customHeight="1">
      <c r="A3" s="75"/>
      <c r="B3" s="26"/>
      <c r="C3" s="81"/>
      <c r="D3" s="58"/>
      <c r="E3" s="57"/>
      <c r="F3" s="70"/>
      <c r="G3" s="69"/>
      <c r="H3" s="115"/>
      <c r="I3" s="17"/>
      <c r="J3" s="103"/>
      <c r="K3" s="18"/>
      <c r="L3" s="49"/>
      <c r="M3" s="49"/>
      <c r="N3" s="47"/>
      <c r="O3" s="17"/>
      <c r="P3" s="17"/>
    </row>
    <row r="4" spans="1:16" ht="94.5" customHeight="1">
      <c r="A4" s="75"/>
      <c r="B4" s="87"/>
      <c r="C4" s="88"/>
      <c r="D4" s="58"/>
      <c r="E4" s="57"/>
      <c r="F4" s="70"/>
      <c r="G4" s="69"/>
      <c r="H4" s="90"/>
      <c r="I4" s="91"/>
      <c r="J4" s="98"/>
      <c r="K4" s="99"/>
      <c r="L4" s="89"/>
      <c r="M4" s="89"/>
      <c r="N4" s="47"/>
      <c r="O4" s="91"/>
      <c r="P4" s="91"/>
    </row>
    <row r="5" spans="1:16" ht="14.5">
      <c r="A5" s="105"/>
      <c r="B5" s="106"/>
      <c r="C5" s="107"/>
      <c r="D5" s="108"/>
      <c r="E5" s="107"/>
      <c r="F5" s="106"/>
      <c r="G5" s="109"/>
      <c r="H5" s="116"/>
      <c r="I5" s="103"/>
      <c r="J5" s="95"/>
      <c r="K5" s="109"/>
      <c r="L5" s="109"/>
      <c r="M5" s="109"/>
      <c r="N5" s="47"/>
      <c r="O5" s="109"/>
      <c r="P5" s="109"/>
    </row>
  </sheetData>
  <phoneticPr fontId="6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781"/>
  <sheetViews>
    <sheetView tabSelected="1" zoomScale="85" zoomScaleNormal="85" workbookViewId="0">
      <selection activeCell="K11" sqref="K11"/>
    </sheetView>
  </sheetViews>
  <sheetFormatPr defaultColWidth="9.1796875" defaultRowHeight="14.5"/>
  <cols>
    <col min="1" max="1" width="6.7265625" style="25" customWidth="1"/>
    <col min="2" max="2" width="29.26953125" style="25" customWidth="1"/>
    <col min="3" max="4" width="13.453125" style="27" customWidth="1"/>
    <col min="5" max="5" width="12.1796875" style="27" customWidth="1"/>
    <col min="6" max="16384" width="9.1796875" style="25"/>
  </cols>
  <sheetData>
    <row r="1" spans="1:6">
      <c r="A1" s="72" t="s">
        <v>350</v>
      </c>
      <c r="B1" s="72" t="s">
        <v>351</v>
      </c>
      <c r="C1" s="72" t="s">
        <v>319</v>
      </c>
      <c r="D1" s="73" t="s">
        <v>352</v>
      </c>
      <c r="E1" s="73" t="s">
        <v>353</v>
      </c>
    </row>
    <row r="2" spans="1:6">
      <c r="A2" s="95" t="s">
        <v>1</v>
      </c>
      <c r="B2" s="101" t="s">
        <v>375</v>
      </c>
      <c r="C2" s="131">
        <v>45439</v>
      </c>
      <c r="D2" s="132">
        <v>0.32222222222222224</v>
      </c>
      <c r="E2" s="132">
        <v>0.65625</v>
      </c>
      <c r="F2" s="71"/>
    </row>
    <row r="3" spans="1:6">
      <c r="A3" s="95" t="s">
        <v>1</v>
      </c>
      <c r="B3" s="101" t="s">
        <v>375</v>
      </c>
      <c r="C3" s="131">
        <v>45440</v>
      </c>
      <c r="D3" s="132">
        <v>0.37083333333333335</v>
      </c>
      <c r="E3" s="132">
        <v>0.73819444444444438</v>
      </c>
      <c r="F3" s="71"/>
    </row>
    <row r="4" spans="1:6">
      <c r="A4" s="95">
        <v>1</v>
      </c>
      <c r="B4" s="101" t="s">
        <v>375</v>
      </c>
      <c r="C4" s="131">
        <v>45441</v>
      </c>
      <c r="D4" s="132">
        <v>0.33333333333333331</v>
      </c>
      <c r="E4" s="132">
        <v>0.70833333333333337</v>
      </c>
      <c r="F4" s="133" t="s">
        <v>359</v>
      </c>
    </row>
    <row r="5" spans="1:6">
      <c r="A5" s="95">
        <v>1</v>
      </c>
      <c r="B5" s="101" t="s">
        <v>375</v>
      </c>
      <c r="C5" s="131">
        <v>45442</v>
      </c>
      <c r="D5" s="132">
        <v>0.33333333333333331</v>
      </c>
      <c r="E5" s="132">
        <v>0.70833333333333337</v>
      </c>
      <c r="F5" s="133" t="s">
        <v>359</v>
      </c>
    </row>
    <row r="6" spans="1:6">
      <c r="A6" s="95">
        <v>1</v>
      </c>
      <c r="B6" s="101" t="s">
        <v>375</v>
      </c>
      <c r="C6" s="131">
        <v>45443</v>
      </c>
      <c r="D6" s="132">
        <v>0.33333333333333331</v>
      </c>
      <c r="E6" s="132">
        <v>0.70833333333333337</v>
      </c>
      <c r="F6" s="133" t="s">
        <v>359</v>
      </c>
    </row>
    <row r="7" spans="1:6">
      <c r="A7" s="95" t="s">
        <v>1</v>
      </c>
      <c r="B7" s="101" t="s">
        <v>375</v>
      </c>
      <c r="C7" s="131">
        <v>45444</v>
      </c>
      <c r="D7" s="132">
        <v>0.32847222222222222</v>
      </c>
      <c r="E7" s="132">
        <v>0.61319444444444449</v>
      </c>
      <c r="F7" s="71"/>
    </row>
    <row r="8" spans="1:6">
      <c r="A8" s="95" t="s">
        <v>1</v>
      </c>
      <c r="B8" s="101" t="s">
        <v>375</v>
      </c>
      <c r="C8" s="131">
        <v>45445</v>
      </c>
      <c r="D8" s="126"/>
      <c r="E8" s="126"/>
      <c r="F8" s="71"/>
    </row>
    <row r="9" spans="1:6">
      <c r="A9" s="95" t="s">
        <v>1</v>
      </c>
      <c r="B9" s="101" t="s">
        <v>375</v>
      </c>
      <c r="C9" s="131">
        <v>45446</v>
      </c>
      <c r="D9" s="132">
        <v>0.32500000000000001</v>
      </c>
      <c r="E9" s="132">
        <v>0.69930555555555562</v>
      </c>
      <c r="F9" s="71"/>
    </row>
    <row r="10" spans="1:6">
      <c r="A10" s="95" t="s">
        <v>1</v>
      </c>
      <c r="B10" s="101" t="s">
        <v>375</v>
      </c>
      <c r="C10" s="131">
        <v>45447</v>
      </c>
      <c r="D10" s="118">
        <v>0.51944444444444449</v>
      </c>
      <c r="E10" s="132">
        <v>0.7319444444444444</v>
      </c>
      <c r="F10" s="71"/>
    </row>
    <row r="11" spans="1:6">
      <c r="A11" s="95">
        <v>1</v>
      </c>
      <c r="B11" s="101" t="s">
        <v>375</v>
      </c>
      <c r="C11" s="131">
        <v>45448</v>
      </c>
      <c r="D11" s="132">
        <v>0.32500000000000001</v>
      </c>
      <c r="E11" s="118">
        <v>0.67638888888888893</v>
      </c>
      <c r="F11" s="117"/>
    </row>
    <row r="12" spans="1:6">
      <c r="A12" s="95" t="s">
        <v>1</v>
      </c>
      <c r="B12" s="101" t="s">
        <v>375</v>
      </c>
      <c r="C12" s="131">
        <v>45449</v>
      </c>
      <c r="D12" s="118">
        <v>0.32500000000000001</v>
      </c>
      <c r="E12" s="132">
        <v>0.72083333333333333</v>
      </c>
      <c r="F12" s="71"/>
    </row>
    <row r="13" spans="1:6">
      <c r="A13" s="95" t="s">
        <v>1</v>
      </c>
      <c r="B13" s="101" t="s">
        <v>375</v>
      </c>
      <c r="C13" s="131">
        <v>45450</v>
      </c>
      <c r="D13" s="101"/>
      <c r="E13" s="126"/>
      <c r="F13" s="133" t="s">
        <v>334</v>
      </c>
    </row>
    <row r="14" spans="1:6">
      <c r="A14" s="95" t="s">
        <v>1</v>
      </c>
      <c r="B14" s="101" t="s">
        <v>375</v>
      </c>
      <c r="C14" s="131">
        <v>45451</v>
      </c>
      <c r="D14" s="132">
        <v>0.32777777777777778</v>
      </c>
      <c r="E14" s="132">
        <v>0.71319444444444446</v>
      </c>
      <c r="F14" s="117"/>
    </row>
    <row r="15" spans="1:6">
      <c r="A15" s="95" t="s">
        <v>1</v>
      </c>
      <c r="B15" s="101" t="s">
        <v>375</v>
      </c>
      <c r="C15" s="131">
        <v>45452</v>
      </c>
    </row>
    <row r="16" spans="1:6">
      <c r="A16" s="95" t="s">
        <v>1</v>
      </c>
      <c r="B16" s="101" t="s">
        <v>375</v>
      </c>
      <c r="C16" s="131">
        <v>45453</v>
      </c>
      <c r="D16" s="132">
        <v>0.33749999999999997</v>
      </c>
      <c r="E16" s="132">
        <v>0.68472222222222223</v>
      </c>
      <c r="F16" s="71"/>
    </row>
    <row r="17" spans="1:6">
      <c r="A17" s="95" t="s">
        <v>1</v>
      </c>
      <c r="B17" s="101" t="s">
        <v>375</v>
      </c>
      <c r="C17" s="131">
        <v>45454</v>
      </c>
      <c r="D17" s="118">
        <v>0.38541666666666669</v>
      </c>
      <c r="E17" s="132">
        <v>0.70833333333333337</v>
      </c>
      <c r="F17" s="71"/>
    </row>
    <row r="18" spans="1:6">
      <c r="A18" s="95" t="s">
        <v>1</v>
      </c>
      <c r="B18" s="101" t="s">
        <v>375</v>
      </c>
      <c r="C18" s="131">
        <v>45455</v>
      </c>
      <c r="D18" s="118" t="s">
        <v>368</v>
      </c>
      <c r="E18" s="118" t="s">
        <v>369</v>
      </c>
      <c r="F18" s="71"/>
    </row>
    <row r="19" spans="1:6">
      <c r="A19" s="95" t="s">
        <v>1</v>
      </c>
      <c r="B19" s="101" t="s">
        <v>375</v>
      </c>
      <c r="C19" s="131">
        <v>45456</v>
      </c>
      <c r="D19" s="118" t="s">
        <v>368</v>
      </c>
      <c r="E19" s="118" t="s">
        <v>369</v>
      </c>
      <c r="F19" s="71"/>
    </row>
    <row r="20" spans="1:6">
      <c r="A20" s="95" t="s">
        <v>1</v>
      </c>
      <c r="B20" s="101" t="s">
        <v>375</v>
      </c>
      <c r="C20" s="131">
        <v>45457</v>
      </c>
      <c r="D20" s="118" t="s">
        <v>368</v>
      </c>
      <c r="E20" s="118" t="s">
        <v>369</v>
      </c>
      <c r="F20" s="71"/>
    </row>
    <row r="21" spans="1:6">
      <c r="A21" s="95" t="s">
        <v>2</v>
      </c>
      <c r="B21" s="101" t="s">
        <v>375</v>
      </c>
      <c r="C21" s="131">
        <v>45458</v>
      </c>
      <c r="D21" s="132">
        <v>0.32708333333333334</v>
      </c>
      <c r="E21" s="132">
        <v>0.6645833333333333</v>
      </c>
    </row>
    <row r="22" spans="1:6">
      <c r="A22" s="95" t="s">
        <v>2</v>
      </c>
      <c r="B22" s="101" t="s">
        <v>375</v>
      </c>
      <c r="C22" s="131">
        <v>45459</v>
      </c>
      <c r="D22" s="132">
        <v>0.3263888888888889</v>
      </c>
      <c r="E22" s="132">
        <v>0.72916666666666663</v>
      </c>
    </row>
    <row r="23" spans="1:6">
      <c r="A23" s="95">
        <v>2</v>
      </c>
      <c r="B23" s="101" t="s">
        <v>375</v>
      </c>
      <c r="C23" s="131">
        <v>45460</v>
      </c>
      <c r="D23" s="132">
        <v>0.32708333333333334</v>
      </c>
      <c r="E23" s="132">
        <v>0.68611111111111101</v>
      </c>
    </row>
    <row r="24" spans="1:6">
      <c r="A24" s="95">
        <v>2</v>
      </c>
      <c r="B24" s="101" t="s">
        <v>375</v>
      </c>
      <c r="C24" s="131">
        <v>45461</v>
      </c>
      <c r="D24" s="118" t="s">
        <v>374</v>
      </c>
      <c r="E24" s="132">
        <v>0.71111111111111114</v>
      </c>
    </row>
    <row r="25" spans="1:6">
      <c r="A25" s="95">
        <v>2</v>
      </c>
      <c r="B25" s="101" t="s">
        <v>375</v>
      </c>
      <c r="C25" s="131">
        <v>45462</v>
      </c>
      <c r="D25" s="132">
        <v>0.32777777777777778</v>
      </c>
      <c r="E25" s="132">
        <v>0.7090277777777777</v>
      </c>
    </row>
    <row r="26" spans="1:6">
      <c r="A26" s="95" t="s">
        <v>2</v>
      </c>
      <c r="B26" s="101" t="s">
        <v>375</v>
      </c>
      <c r="C26" s="131">
        <v>45463</v>
      </c>
      <c r="D26" s="132">
        <v>0.32916666666666666</v>
      </c>
      <c r="E26" s="132">
        <v>0.61041666666666672</v>
      </c>
    </row>
    <row r="27" spans="1:6">
      <c r="A27" s="95" t="s">
        <v>2</v>
      </c>
      <c r="B27" s="101" t="s">
        <v>375</v>
      </c>
      <c r="C27" s="131">
        <v>45464</v>
      </c>
      <c r="D27" s="126"/>
      <c r="E27" s="126"/>
    </row>
    <row r="28" spans="1:6">
      <c r="A28" s="95" t="s">
        <v>2</v>
      </c>
      <c r="B28" s="101" t="s">
        <v>375</v>
      </c>
      <c r="C28" s="131">
        <v>45465</v>
      </c>
      <c r="D28" s="132">
        <v>0.32777777777777778</v>
      </c>
      <c r="E28" s="132">
        <v>0.69305555555555554</v>
      </c>
    </row>
    <row r="29" spans="1:6">
      <c r="A29" s="95"/>
      <c r="B29" s="101"/>
      <c r="C29" s="110"/>
      <c r="D29" s="132"/>
      <c r="E29" s="132"/>
    </row>
    <row r="30" spans="1:6">
      <c r="A30" s="95"/>
      <c r="B30" s="101"/>
      <c r="C30" s="110"/>
      <c r="D30" s="132"/>
      <c r="E30" s="132"/>
    </row>
    <row r="31" spans="1:6">
      <c r="A31" s="95"/>
      <c r="B31" s="101"/>
      <c r="C31" s="110"/>
      <c r="D31" s="132"/>
      <c r="E31" s="132"/>
    </row>
    <row r="32" spans="1:6">
      <c r="A32" s="95"/>
      <c r="B32" s="101"/>
      <c r="C32" s="110"/>
      <c r="D32" s="126"/>
      <c r="E32" s="126"/>
      <c r="F32" s="134"/>
    </row>
    <row r="33" spans="1:6">
      <c r="A33" s="95"/>
      <c r="B33" s="101"/>
      <c r="C33" s="110"/>
      <c r="D33" s="132"/>
      <c r="E33" s="132"/>
    </row>
    <row r="34" spans="1:6">
      <c r="A34" s="95"/>
      <c r="B34" s="101"/>
      <c r="C34" s="110"/>
      <c r="D34" s="126"/>
      <c r="E34" s="126"/>
      <c r="F34" s="134"/>
    </row>
    <row r="35" spans="1:6">
      <c r="A35" s="95"/>
      <c r="B35" s="101"/>
      <c r="C35" s="110"/>
      <c r="D35" s="118"/>
      <c r="E35" s="132"/>
    </row>
    <row r="36" spans="1:6">
      <c r="A36" s="95"/>
      <c r="B36" s="101"/>
      <c r="C36" s="110"/>
      <c r="D36" s="132"/>
      <c r="E36" s="132"/>
    </row>
    <row r="37" spans="1:6">
      <c r="A37" s="95"/>
      <c r="B37" s="101"/>
      <c r="C37" s="110"/>
      <c r="D37" s="118"/>
      <c r="E37" s="118"/>
    </row>
    <row r="38" spans="1:6">
      <c r="A38" s="95"/>
      <c r="B38" s="101"/>
      <c r="C38" s="110"/>
      <c r="D38" s="118"/>
      <c r="E38" s="118"/>
    </row>
    <row r="39" spans="1:6">
      <c r="A39" s="95"/>
      <c r="B39" s="101"/>
      <c r="C39" s="110"/>
      <c r="D39" s="118"/>
      <c r="E39" s="118"/>
    </row>
    <row r="40" spans="1:6">
      <c r="A40" s="95"/>
      <c r="B40" s="101"/>
      <c r="C40" s="131"/>
      <c r="D40" s="135"/>
      <c r="E40" s="135"/>
      <c r="F40" s="71"/>
    </row>
    <row r="41" spans="1:6">
      <c r="A41" s="95"/>
      <c r="B41" s="101"/>
      <c r="C41" s="131"/>
      <c r="D41" s="128"/>
      <c r="E41" s="135"/>
      <c r="F41" s="71"/>
    </row>
    <row r="42" spans="1:6">
      <c r="A42" s="95"/>
      <c r="B42" s="101"/>
      <c r="C42" s="131"/>
      <c r="D42" s="128"/>
      <c r="E42" s="128"/>
      <c r="F42" s="71"/>
    </row>
    <row r="43" spans="1:6">
      <c r="A43" s="95"/>
      <c r="B43" s="101"/>
      <c r="C43" s="131"/>
      <c r="D43" s="128"/>
      <c r="E43" s="128"/>
      <c r="F43" s="71"/>
    </row>
    <row r="44" spans="1:6">
      <c r="A44" s="95"/>
      <c r="B44" s="101"/>
      <c r="C44" s="131"/>
      <c r="D44" s="128"/>
      <c r="E44" s="128"/>
      <c r="F44" s="71"/>
    </row>
    <row r="45" spans="1:6">
      <c r="A45" s="95"/>
      <c r="B45" s="101"/>
      <c r="C45" s="110"/>
      <c r="D45" s="128"/>
      <c r="E45" s="128"/>
      <c r="F45" s="71"/>
    </row>
    <row r="46" spans="1:6">
      <c r="A46" s="95"/>
      <c r="B46" s="101"/>
      <c r="C46" s="110"/>
      <c r="D46" s="127"/>
      <c r="E46" s="128"/>
      <c r="F46" s="71"/>
    </row>
    <row r="47" spans="1:6">
      <c r="A47" s="95"/>
      <c r="B47" s="95"/>
      <c r="C47" s="110"/>
      <c r="D47" s="128"/>
      <c r="E47" s="128"/>
      <c r="F47" s="71"/>
    </row>
    <row r="48" spans="1:6">
      <c r="A48" s="95"/>
      <c r="B48" s="95"/>
      <c r="C48" s="110"/>
      <c r="D48" s="128"/>
      <c r="E48" s="128"/>
      <c r="F48" s="71"/>
    </row>
    <row r="49" spans="1:6">
      <c r="A49" s="95"/>
      <c r="B49" s="95"/>
      <c r="C49" s="110"/>
      <c r="D49" s="135"/>
      <c r="E49" s="135"/>
      <c r="F49" s="71"/>
    </row>
    <row r="50" spans="1:6">
      <c r="A50" s="95"/>
      <c r="B50" s="95"/>
      <c r="C50" s="110"/>
      <c r="D50" s="128"/>
      <c r="E50" s="128"/>
      <c r="F50" s="71"/>
    </row>
    <row r="51" spans="1:6">
      <c r="A51" s="95"/>
      <c r="B51" s="95"/>
      <c r="C51" s="110"/>
      <c r="D51" s="25"/>
      <c r="E51" s="25"/>
      <c r="F51" s="71"/>
    </row>
    <row r="52" spans="1:6">
      <c r="A52" s="95"/>
      <c r="B52" s="95"/>
      <c r="C52" s="110"/>
      <c r="D52" s="118"/>
      <c r="E52" s="118"/>
      <c r="F52" s="71"/>
    </row>
    <row r="53" spans="1:6">
      <c r="A53" s="95"/>
      <c r="B53" s="95"/>
      <c r="C53" s="110"/>
      <c r="D53" s="129"/>
      <c r="E53" s="118"/>
      <c r="F53" s="71"/>
    </row>
    <row r="54" spans="1:6">
      <c r="A54" s="95"/>
      <c r="B54" s="95"/>
      <c r="C54" s="110"/>
      <c r="D54" s="118"/>
      <c r="E54" s="118"/>
      <c r="F54" s="117"/>
    </row>
    <row r="55" spans="1:6">
      <c r="A55" s="95"/>
      <c r="B55" s="95"/>
      <c r="C55" s="110"/>
      <c r="D55" s="118"/>
      <c r="E55" s="118"/>
      <c r="F55" s="71"/>
    </row>
    <row r="56" spans="1:6">
      <c r="A56" s="95"/>
      <c r="B56" s="95"/>
      <c r="C56" s="110"/>
      <c r="D56" s="118"/>
      <c r="E56" s="118"/>
      <c r="F56" s="71"/>
    </row>
    <row r="57" spans="1:6">
      <c r="A57" s="95"/>
      <c r="B57" s="95"/>
      <c r="C57" s="110"/>
      <c r="D57" s="118"/>
      <c r="E57" s="118"/>
      <c r="F57" s="71"/>
    </row>
    <row r="58" spans="1:6">
      <c r="A58" s="95"/>
      <c r="B58" s="95"/>
      <c r="C58" s="110"/>
      <c r="D58" s="118"/>
      <c r="E58" s="118"/>
      <c r="F58" s="71"/>
    </row>
    <row r="59" spans="1:6">
      <c r="A59" s="95"/>
      <c r="B59" s="95"/>
      <c r="C59" s="131"/>
      <c r="D59" s="118"/>
      <c r="E59" s="118"/>
    </row>
    <row r="60" spans="1:6">
      <c r="A60" s="95"/>
      <c r="B60" s="95"/>
      <c r="C60" s="131"/>
      <c r="D60" s="118"/>
      <c r="E60" s="96"/>
    </row>
    <row r="61" spans="1:6">
      <c r="A61" s="95"/>
      <c r="B61" s="95"/>
      <c r="C61" s="131"/>
      <c r="D61" s="118"/>
      <c r="E61" s="96"/>
    </row>
    <row r="62" spans="1:6">
      <c r="A62" s="95"/>
      <c r="B62" s="95"/>
      <c r="C62" s="131"/>
      <c r="D62" s="118"/>
      <c r="E62" s="96"/>
    </row>
    <row r="63" spans="1:6">
      <c r="A63" s="95"/>
      <c r="B63" s="95"/>
      <c r="C63" s="131"/>
      <c r="D63" s="118"/>
      <c r="E63" s="96"/>
    </row>
    <row r="64" spans="1:6">
      <c r="A64" s="95"/>
      <c r="B64" s="95"/>
      <c r="C64" s="110"/>
      <c r="D64" s="130"/>
      <c r="E64" s="130"/>
    </row>
    <row r="65" spans="1:6">
      <c r="A65" s="95"/>
      <c r="B65" s="95"/>
      <c r="C65" s="110"/>
      <c r="D65" s="118"/>
      <c r="E65" s="118"/>
    </row>
    <row r="66" spans="1:6">
      <c r="A66" s="95"/>
      <c r="B66" s="95"/>
      <c r="C66" s="110"/>
      <c r="D66" s="118"/>
      <c r="E66" s="118"/>
    </row>
    <row r="67" spans="1:6">
      <c r="A67" s="95"/>
      <c r="B67" s="95"/>
      <c r="C67" s="110"/>
      <c r="D67" s="118"/>
      <c r="E67" s="118"/>
    </row>
    <row r="68" spans="1:6">
      <c r="A68" s="95"/>
      <c r="B68" s="95"/>
      <c r="C68" s="110"/>
      <c r="D68" s="118"/>
      <c r="E68" s="118"/>
    </row>
    <row r="69" spans="1:6">
      <c r="A69" s="95"/>
      <c r="B69" s="95"/>
      <c r="C69" s="110"/>
      <c r="D69" s="118"/>
      <c r="E69" s="130"/>
      <c r="F69" s="122"/>
    </row>
    <row r="70" spans="1:6">
      <c r="A70" s="95"/>
      <c r="B70" s="95"/>
      <c r="C70" s="110"/>
      <c r="D70" s="118"/>
      <c r="E70" s="130"/>
      <c r="F70" s="122"/>
    </row>
    <row r="71" spans="1:6">
      <c r="A71" s="95"/>
      <c r="B71" s="95"/>
      <c r="C71" s="110"/>
      <c r="D71" s="118"/>
      <c r="E71" s="130"/>
    </row>
    <row r="72" spans="1:6">
      <c r="A72" s="95"/>
      <c r="B72" s="95"/>
      <c r="C72" s="110"/>
      <c r="D72" s="96"/>
      <c r="E72" s="130"/>
    </row>
    <row r="73" spans="1:6">
      <c r="A73" s="95"/>
      <c r="B73" s="95"/>
      <c r="C73" s="110"/>
      <c r="D73" s="118"/>
      <c r="E73" s="96"/>
    </row>
    <row r="74" spans="1:6">
      <c r="A74" s="95"/>
      <c r="B74" s="95"/>
      <c r="C74" s="110"/>
      <c r="D74" s="118"/>
      <c r="E74" s="96"/>
    </row>
    <row r="75" spans="1:6">
      <c r="A75" s="95"/>
      <c r="B75" s="95"/>
      <c r="C75" s="110"/>
      <c r="D75" s="118"/>
      <c r="E75" s="118"/>
    </row>
    <row r="76" spans="1:6">
      <c r="A76" s="95"/>
      <c r="B76" s="95"/>
      <c r="C76" s="110"/>
      <c r="D76" s="118"/>
      <c r="E76" s="118"/>
      <c r="F76" s="122"/>
    </row>
    <row r="77" spans="1:6">
      <c r="A77" s="95"/>
      <c r="B77" s="95"/>
      <c r="C77" s="110"/>
      <c r="D77" s="118"/>
      <c r="E77" s="118"/>
    </row>
    <row r="78" spans="1:6">
      <c r="A78" s="95"/>
      <c r="B78" s="95"/>
      <c r="C78" s="126"/>
      <c r="D78" s="118"/>
      <c r="E78" s="96"/>
    </row>
    <row r="79" spans="1:6">
      <c r="A79" s="95"/>
      <c r="B79" s="95"/>
      <c r="C79" s="126"/>
      <c r="D79" s="96"/>
      <c r="E79" s="96"/>
    </row>
    <row r="80" spans="1:6">
      <c r="A80" s="95"/>
      <c r="B80" s="95"/>
      <c r="C80" s="126"/>
      <c r="D80" s="96"/>
      <c r="E80" s="130"/>
    </row>
    <row r="81" spans="1:5">
      <c r="A81" s="95"/>
      <c r="B81" s="95"/>
      <c r="C81" s="126"/>
      <c r="D81" s="119"/>
      <c r="E81" s="130"/>
    </row>
    <row r="82" spans="1:5">
      <c r="A82" s="95"/>
      <c r="B82" s="95"/>
      <c r="C82" s="126"/>
      <c r="D82"/>
      <c r="E82" s="104"/>
    </row>
    <row r="83" spans="1:5">
      <c r="A83" s="95"/>
      <c r="B83" s="95"/>
      <c r="C83" s="126"/>
      <c r="D83" s="96"/>
      <c r="E83" s="120"/>
    </row>
    <row r="84" spans="1:5">
      <c r="A84" s="95"/>
      <c r="B84" s="95"/>
      <c r="C84" s="111"/>
      <c r="D84" s="96"/>
      <c r="E84" s="120"/>
    </row>
    <row r="85" spans="1:5">
      <c r="A85" s="95"/>
      <c r="B85" s="95"/>
      <c r="C85" s="111"/>
      <c r="D85" s="96"/>
      <c r="E85" s="120"/>
    </row>
    <row r="86" spans="1:5">
      <c r="A86" s="95"/>
      <c r="B86" s="95"/>
      <c r="C86" s="111"/>
      <c r="D86" s="113"/>
      <c r="E86" s="113"/>
    </row>
    <row r="87" spans="1:5">
      <c r="A87" s="95"/>
      <c r="B87" s="95"/>
      <c r="C87" s="111"/>
      <c r="D87" s="96"/>
      <c r="E87" s="82"/>
    </row>
    <row r="88" spans="1:5">
      <c r="A88" s="95"/>
      <c r="B88" s="95"/>
      <c r="C88" s="111"/>
      <c r="D88" s="96"/>
      <c r="E88" s="82"/>
    </row>
    <row r="89" spans="1:5">
      <c r="A89" s="95"/>
      <c r="B89" s="101"/>
      <c r="C89" s="112"/>
      <c r="D89" s="119"/>
      <c r="E89" s="120"/>
    </row>
    <row r="90" spans="1:5">
      <c r="A90" s="95"/>
      <c r="B90" s="95"/>
      <c r="C90" s="111"/>
      <c r="D90"/>
      <c r="E90" s="82"/>
    </row>
    <row r="91" spans="1:5">
      <c r="A91" s="95"/>
      <c r="B91" s="95"/>
      <c r="C91" s="111"/>
      <c r="D91" s="96"/>
      <c r="E91" s="82"/>
    </row>
    <row r="92" spans="1:5">
      <c r="A92" s="95"/>
      <c r="B92" s="95"/>
      <c r="C92" s="111"/>
      <c r="D92" s="96"/>
      <c r="E92" s="82"/>
    </row>
    <row r="93" spans="1:5">
      <c r="D93"/>
      <c r="E93" s="82"/>
    </row>
    <row r="94" spans="1:5">
      <c r="A94" s="95"/>
      <c r="B94" s="95"/>
      <c r="C94" s="95"/>
      <c r="D94"/>
      <c r="E94" s="82"/>
    </row>
    <row r="95" spans="1:5">
      <c r="A95" s="95"/>
      <c r="B95" s="95"/>
      <c r="C95" s="95"/>
      <c r="D95"/>
      <c r="E95" s="82"/>
    </row>
    <row r="96" spans="1:5">
      <c r="A96" s="95"/>
      <c r="B96" s="95"/>
      <c r="C96" s="95"/>
      <c r="D96"/>
      <c r="E96" s="82"/>
    </row>
    <row r="97" spans="1:5">
      <c r="A97" s="95"/>
      <c r="B97" s="95"/>
      <c r="C97" s="95"/>
      <c r="D97"/>
      <c r="E97" s="82"/>
    </row>
    <row r="98" spans="1:5">
      <c r="A98" s="95"/>
      <c r="B98" s="95"/>
      <c r="C98" s="95"/>
      <c r="D98"/>
      <c r="E98" s="82"/>
    </row>
    <row r="99" spans="1:5">
      <c r="A99" s="95"/>
      <c r="B99" s="95"/>
      <c r="C99" s="95"/>
      <c r="D99"/>
      <c r="E99" s="82"/>
    </row>
    <row r="100" spans="1:5">
      <c r="A100" s="95"/>
      <c r="B100" s="95"/>
      <c r="C100" s="95"/>
      <c r="D100"/>
      <c r="E100" s="82"/>
    </row>
    <row r="101" spans="1:5">
      <c r="A101" s="95"/>
      <c r="B101" s="95"/>
      <c r="C101" s="95"/>
      <c r="D101"/>
      <c r="E101" s="82"/>
    </row>
    <row r="102" spans="1:5">
      <c r="A102" s="95"/>
      <c r="B102" s="95"/>
      <c r="C102" s="95"/>
      <c r="D102"/>
      <c r="E102" s="82"/>
    </row>
    <row r="103" spans="1:5">
      <c r="A103" s="95"/>
      <c r="B103" s="95"/>
      <c r="C103" s="95"/>
      <c r="D103"/>
      <c r="E103" s="82"/>
    </row>
    <row r="104" spans="1:5">
      <c r="A104" s="95"/>
      <c r="B104" s="95"/>
      <c r="C104" s="95"/>
      <c r="D104"/>
    </row>
    <row r="105" spans="1:5">
      <c r="A105" s="95"/>
      <c r="B105" s="95"/>
      <c r="C105" s="95"/>
      <c r="D105"/>
    </row>
    <row r="106" spans="1:5">
      <c r="A106" s="95"/>
      <c r="B106" s="95"/>
      <c r="C106" s="95"/>
      <c r="D106"/>
    </row>
    <row r="107" spans="1:5">
      <c r="A107" s="95"/>
      <c r="B107" s="95"/>
      <c r="C107" s="95"/>
      <c r="D107"/>
      <c r="E107" s="83"/>
    </row>
    <row r="108" spans="1:5">
      <c r="A108" s="95"/>
      <c r="B108" s="95"/>
      <c r="C108" s="95"/>
      <c r="D108"/>
      <c r="E108" s="84"/>
    </row>
    <row r="109" spans="1:5">
      <c r="A109" s="95"/>
      <c r="B109" s="95"/>
      <c r="C109" s="95"/>
      <c r="D109"/>
      <c r="E109" s="84"/>
    </row>
    <row r="110" spans="1:5">
      <c r="D110"/>
      <c r="E110" s="84"/>
    </row>
    <row r="111" spans="1:5">
      <c r="D111"/>
      <c r="E111" s="84"/>
    </row>
    <row r="112" spans="1:5">
      <c r="C112" s="25"/>
      <c r="D112"/>
      <c r="E112" s="84"/>
    </row>
    <row r="113" spans="3:5">
      <c r="C113" s="25"/>
      <c r="D113"/>
      <c r="E113" s="85"/>
    </row>
    <row r="114" spans="3:5">
      <c r="C114" s="25"/>
      <c r="D114"/>
      <c r="E114" s="64"/>
    </row>
    <row r="115" spans="3:5">
      <c r="C115" s="25"/>
      <c r="D115"/>
      <c r="E115" s="64"/>
    </row>
    <row r="116" spans="3:5">
      <c r="C116" s="25"/>
      <c r="D116"/>
      <c r="E116" s="64"/>
    </row>
    <row r="117" spans="3:5">
      <c r="C117" s="25"/>
      <c r="D117"/>
      <c r="E117" s="64"/>
    </row>
    <row r="118" spans="3:5">
      <c r="C118" s="25"/>
      <c r="D118"/>
      <c r="E118" s="64"/>
    </row>
    <row r="119" spans="3:5">
      <c r="C119" s="25"/>
      <c r="D119"/>
      <c r="E119" s="64"/>
    </row>
    <row r="120" spans="3:5">
      <c r="C120" s="25"/>
      <c r="D120"/>
      <c r="E120" s="64"/>
    </row>
    <row r="121" spans="3:5">
      <c r="C121" s="25"/>
      <c r="D121"/>
      <c r="E121" s="64"/>
    </row>
    <row r="122" spans="3:5">
      <c r="C122" s="25"/>
      <c r="D122"/>
      <c r="E122" s="80"/>
    </row>
    <row r="123" spans="3:5">
      <c r="C123" s="25"/>
      <c r="D123"/>
      <c r="E123" s="64"/>
    </row>
    <row r="124" spans="3:5">
      <c r="C124" s="25"/>
      <c r="D124"/>
      <c r="E124" s="64"/>
    </row>
    <row r="125" spans="3:5">
      <c r="C125" s="25"/>
      <c r="D125"/>
      <c r="E125" s="76"/>
    </row>
    <row r="126" spans="3:5">
      <c r="C126" s="25"/>
      <c r="D126"/>
      <c r="E126" s="78"/>
    </row>
    <row r="127" spans="3:5">
      <c r="C127" s="25"/>
      <c r="D127"/>
      <c r="E127" s="77"/>
    </row>
    <row r="128" spans="3:5">
      <c r="C128" s="25"/>
      <c r="D128"/>
      <c r="E128" s="76"/>
    </row>
    <row r="129" spans="3:5">
      <c r="C129" s="25"/>
      <c r="D129"/>
      <c r="E129" s="79"/>
    </row>
    <row r="130" spans="3:5">
      <c r="C130" s="25"/>
      <c r="D130"/>
      <c r="E130" s="76"/>
    </row>
    <row r="131" spans="3:5">
      <c r="C131" s="25"/>
      <c r="D131"/>
      <c r="E131" s="76"/>
    </row>
    <row r="132" spans="3:5">
      <c r="C132" s="25"/>
      <c r="D132"/>
      <c r="E132" s="65"/>
    </row>
    <row r="133" spans="3:5">
      <c r="C133" s="25"/>
      <c r="D133"/>
      <c r="E133" s="65"/>
    </row>
    <row r="134" spans="3:5">
      <c r="C134" s="25"/>
      <c r="D134"/>
      <c r="E134" s="65"/>
    </row>
    <row r="135" spans="3:5">
      <c r="C135" s="25"/>
      <c r="D135"/>
      <c r="E135" s="65"/>
    </row>
    <row r="136" spans="3:5">
      <c r="C136" s="25"/>
      <c r="D136"/>
      <c r="E136" s="65"/>
    </row>
    <row r="137" spans="3:5">
      <c r="C137" s="25"/>
      <c r="D137"/>
      <c r="E137" s="65"/>
    </row>
    <row r="138" spans="3:5">
      <c r="C138" s="25"/>
      <c r="D138"/>
      <c r="E138" s="65"/>
    </row>
    <row r="139" spans="3:5">
      <c r="C139" s="25"/>
      <c r="D139"/>
      <c r="E139" s="65"/>
    </row>
    <row r="140" spans="3:5">
      <c r="C140" s="25"/>
      <c r="D140"/>
      <c r="E140" s="65"/>
    </row>
    <row r="141" spans="3:5">
      <c r="C141" s="25"/>
      <c r="D141"/>
      <c r="E141" s="65"/>
    </row>
    <row r="142" spans="3:5">
      <c r="C142" s="25"/>
      <c r="D142"/>
      <c r="E142" s="65"/>
    </row>
    <row r="143" spans="3:5">
      <c r="C143" s="25"/>
      <c r="D143" s="79"/>
      <c r="E143" s="65"/>
    </row>
    <row r="144" spans="3:5">
      <c r="C144" s="25"/>
      <c r="D144" s="64"/>
      <c r="E144" s="65"/>
    </row>
    <row r="145" spans="3:5">
      <c r="C145" s="25"/>
      <c r="D145" s="65"/>
      <c r="E145" s="65"/>
    </row>
    <row r="146" spans="3:5">
      <c r="C146" s="25"/>
      <c r="D146" s="65"/>
      <c r="E146" s="65"/>
    </row>
    <row r="147" spans="3:5">
      <c r="C147" s="25"/>
      <c r="D147" s="65"/>
      <c r="E147" s="65"/>
    </row>
    <row r="148" spans="3:5">
      <c r="C148" s="25"/>
      <c r="D148" s="65"/>
      <c r="E148" s="65"/>
    </row>
    <row r="149" spans="3:5">
      <c r="C149" s="25"/>
      <c r="D149" s="65"/>
      <c r="E149" s="65"/>
    </row>
    <row r="150" spans="3:5">
      <c r="C150" s="25"/>
      <c r="D150" s="65"/>
      <c r="E150" s="65"/>
    </row>
    <row r="151" spans="3:5">
      <c r="C151" s="25"/>
      <c r="D151" s="65"/>
      <c r="E151" s="65"/>
    </row>
    <row r="152" spans="3:5">
      <c r="C152" s="25"/>
      <c r="D152" s="65"/>
      <c r="E152" s="65"/>
    </row>
    <row r="153" spans="3:5">
      <c r="C153" s="25"/>
      <c r="D153" s="65"/>
      <c r="E153" s="65"/>
    </row>
    <row r="154" spans="3:5">
      <c r="C154" s="25"/>
      <c r="D154" s="65"/>
      <c r="E154" s="65"/>
    </row>
    <row r="155" spans="3:5">
      <c r="C155" s="25"/>
      <c r="D155" s="65"/>
      <c r="E155" s="65"/>
    </row>
    <row r="156" spans="3:5">
      <c r="C156" s="25"/>
      <c r="D156" s="65"/>
      <c r="E156" s="65"/>
    </row>
    <row r="157" spans="3:5">
      <c r="C157" s="25"/>
      <c r="D157" s="65"/>
      <c r="E157" s="65"/>
    </row>
    <row r="158" spans="3:5">
      <c r="C158" s="25"/>
      <c r="D158" s="65"/>
      <c r="E158" s="65"/>
    </row>
    <row r="159" spans="3:5">
      <c r="C159" s="25"/>
      <c r="D159" s="65"/>
      <c r="E159" s="65"/>
    </row>
    <row r="160" spans="3:5">
      <c r="C160" s="25"/>
      <c r="D160" s="65"/>
      <c r="E160" s="65"/>
    </row>
    <row r="161" spans="3:5">
      <c r="C161" s="25"/>
      <c r="D161" s="65"/>
      <c r="E161" s="65"/>
    </row>
    <row r="162" spans="3:5">
      <c r="C162" s="25"/>
      <c r="D162" s="64"/>
      <c r="E162" s="65"/>
    </row>
    <row r="163" spans="3:5">
      <c r="C163" s="25"/>
      <c r="D163" s="65"/>
      <c r="E163" s="65"/>
    </row>
    <row r="164" spans="3:5">
      <c r="C164" s="25"/>
      <c r="D164" s="65"/>
      <c r="E164" s="65"/>
    </row>
    <row r="165" spans="3:5">
      <c r="C165" s="25"/>
      <c r="D165" s="65"/>
      <c r="E165" s="65"/>
    </row>
    <row r="166" spans="3:5">
      <c r="C166" s="25"/>
      <c r="D166" s="65"/>
      <c r="E166" s="65"/>
    </row>
    <row r="167" spans="3:5">
      <c r="C167" s="25"/>
      <c r="D167" s="65"/>
      <c r="E167" s="65"/>
    </row>
    <row r="168" spans="3:5">
      <c r="C168" s="25"/>
      <c r="D168" s="65"/>
      <c r="E168" s="65"/>
    </row>
    <row r="169" spans="3:5">
      <c r="C169" s="25"/>
      <c r="D169" s="65"/>
      <c r="E169" s="65"/>
    </row>
    <row r="170" spans="3:5">
      <c r="C170" s="25"/>
      <c r="D170" s="65"/>
      <c r="E170" s="64"/>
    </row>
    <row r="171" spans="3:5">
      <c r="C171" s="25"/>
      <c r="D171" s="65"/>
      <c r="E171" s="65"/>
    </row>
    <row r="172" spans="3:5">
      <c r="C172" s="25"/>
      <c r="D172" s="65"/>
      <c r="E172" s="65"/>
    </row>
    <row r="173" spans="3:5">
      <c r="C173" s="25"/>
      <c r="D173" s="65"/>
      <c r="E173" s="65"/>
    </row>
    <row r="174" spans="3:5">
      <c r="C174" s="25"/>
      <c r="D174" s="65"/>
      <c r="E174" s="65"/>
    </row>
    <row r="175" spans="3:5">
      <c r="C175" s="25"/>
      <c r="D175" s="65"/>
      <c r="E175" s="65"/>
    </row>
    <row r="176" spans="3:5">
      <c r="C176" s="25"/>
      <c r="D176" s="65"/>
      <c r="E176" s="65"/>
    </row>
    <row r="177" spans="3:5">
      <c r="C177" s="25"/>
      <c r="D177" s="65"/>
      <c r="E177" s="65"/>
    </row>
    <row r="178" spans="3:5">
      <c r="C178" s="25"/>
      <c r="D178" s="65"/>
      <c r="E178" s="65"/>
    </row>
    <row r="179" spans="3:5">
      <c r="C179" s="25"/>
      <c r="D179" s="65"/>
      <c r="E179" s="65"/>
    </row>
    <row r="180" spans="3:5">
      <c r="D180" s="65"/>
      <c r="E180" s="65"/>
    </row>
    <row r="181" spans="3:5">
      <c r="D181" s="65"/>
      <c r="E181" s="65"/>
    </row>
    <row r="182" spans="3:5">
      <c r="D182" s="65"/>
      <c r="E182" s="65"/>
    </row>
    <row r="183" spans="3:5">
      <c r="D183" s="65"/>
      <c r="E183" s="65"/>
    </row>
    <row r="184" spans="3:5">
      <c r="D184" s="65"/>
      <c r="E184" s="65"/>
    </row>
    <row r="185" spans="3:5">
      <c r="D185" s="65"/>
      <c r="E185" s="65"/>
    </row>
    <row r="186" spans="3:5">
      <c r="D186" s="65"/>
      <c r="E186" s="65"/>
    </row>
    <row r="187" spans="3:5">
      <c r="D187" s="65"/>
      <c r="E187" s="65"/>
    </row>
    <row r="188" spans="3:5">
      <c r="D188" s="65"/>
      <c r="E188" s="65"/>
    </row>
    <row r="189" spans="3:5">
      <c r="D189" s="65"/>
      <c r="E189" s="65"/>
    </row>
    <row r="190" spans="3:5">
      <c r="D190" s="65"/>
      <c r="E190" s="65"/>
    </row>
    <row r="191" spans="3:5">
      <c r="D191" s="65"/>
      <c r="E191" s="65"/>
    </row>
    <row r="192" spans="3:5">
      <c r="D192" s="65"/>
      <c r="E192" s="65"/>
    </row>
    <row r="193" spans="4:5">
      <c r="D193" s="65"/>
      <c r="E193" s="65"/>
    </row>
    <row r="194" spans="4:5">
      <c r="D194" s="65"/>
      <c r="E194" s="65"/>
    </row>
    <row r="195" spans="4:5">
      <c r="D195" s="65"/>
      <c r="E195" s="65"/>
    </row>
    <row r="196" spans="4:5">
      <c r="D196" s="65"/>
      <c r="E196" s="65"/>
    </row>
    <row r="197" spans="4:5">
      <c r="D197" s="65"/>
      <c r="E197" s="65"/>
    </row>
    <row r="198" spans="4:5">
      <c r="D198" s="64"/>
      <c r="E198" s="65"/>
    </row>
    <row r="199" spans="4:5">
      <c r="D199" s="65"/>
      <c r="E199" s="65"/>
    </row>
    <row r="200" spans="4:5">
      <c r="D200" s="65"/>
      <c r="E200" s="65"/>
    </row>
    <row r="201" spans="4:5">
      <c r="D201" s="65"/>
      <c r="E201" s="65"/>
    </row>
    <row r="202" spans="4:5">
      <c r="D202" s="65"/>
      <c r="E202" s="65"/>
    </row>
    <row r="203" spans="4:5">
      <c r="D203" s="65"/>
      <c r="E203" s="65"/>
    </row>
    <row r="204" spans="4:5">
      <c r="D204" s="65"/>
      <c r="E204" s="65"/>
    </row>
    <row r="205" spans="4:5">
      <c r="D205" s="65"/>
      <c r="E205" s="65"/>
    </row>
    <row r="206" spans="4:5">
      <c r="D206" s="65"/>
      <c r="E206" s="65"/>
    </row>
    <row r="207" spans="4:5">
      <c r="D207" s="65"/>
      <c r="E207" s="65"/>
    </row>
    <row r="208" spans="4:5">
      <c r="D208" s="65"/>
      <c r="E208" s="65"/>
    </row>
    <row r="209" spans="4:5">
      <c r="D209" s="65"/>
      <c r="E209" s="65"/>
    </row>
    <row r="210" spans="4:5">
      <c r="D210" s="65"/>
      <c r="E210" s="65"/>
    </row>
    <row r="211" spans="4:5">
      <c r="D211" s="65"/>
      <c r="E211" s="65"/>
    </row>
    <row r="212" spans="4:5">
      <c r="D212" s="65"/>
      <c r="E212" s="65"/>
    </row>
    <row r="213" spans="4:5">
      <c r="D213" s="65"/>
      <c r="E213" s="65"/>
    </row>
    <row r="214" spans="4:5">
      <c r="D214" s="65"/>
      <c r="E214" s="65"/>
    </row>
    <row r="215" spans="4:5">
      <c r="D215" s="65"/>
      <c r="E215" s="65"/>
    </row>
    <row r="216" spans="4:5">
      <c r="D216" s="65"/>
      <c r="E216" s="65"/>
    </row>
    <row r="217" spans="4:5">
      <c r="D217" s="65"/>
      <c r="E217" s="65"/>
    </row>
    <row r="218" spans="4:5">
      <c r="D218" s="65"/>
      <c r="E218" s="65"/>
    </row>
    <row r="219" spans="4:5">
      <c r="D219" s="65"/>
      <c r="E219" s="65"/>
    </row>
    <row r="220" spans="4:5">
      <c r="D220" s="65"/>
      <c r="E220" s="65"/>
    </row>
    <row r="221" spans="4:5">
      <c r="D221" s="65"/>
      <c r="E221" s="65"/>
    </row>
    <row r="222" spans="4:5">
      <c r="D222" s="65"/>
      <c r="E222" s="64"/>
    </row>
    <row r="223" spans="4:5">
      <c r="D223" s="65"/>
      <c r="E223" s="65"/>
    </row>
    <row r="224" spans="4:5">
      <c r="D224" s="65"/>
      <c r="E224" s="65"/>
    </row>
    <row r="225" spans="1:5">
      <c r="D225" s="64"/>
      <c r="E225" s="65"/>
    </row>
    <row r="226" spans="1:5">
      <c r="D226" s="65"/>
      <c r="E226" s="65"/>
    </row>
    <row r="227" spans="1:5">
      <c r="D227" s="65"/>
      <c r="E227" s="65"/>
    </row>
    <row r="228" spans="1:5">
      <c r="D228" s="65"/>
      <c r="E228" s="65"/>
    </row>
    <row r="229" spans="1:5">
      <c r="D229" s="65"/>
      <c r="E229" s="65"/>
    </row>
    <row r="230" spans="1:5">
      <c r="A230" s="60"/>
      <c r="B230" s="60"/>
      <c r="C230" s="60"/>
      <c r="D230" s="65"/>
      <c r="E230" s="65"/>
    </row>
    <row r="231" spans="1:5">
      <c r="A231" s="60"/>
      <c r="B231" s="60"/>
      <c r="C231" s="60"/>
      <c r="D231" s="65"/>
      <c r="E231" s="65"/>
    </row>
    <row r="232" spans="1:5">
      <c r="A232" s="60"/>
      <c r="B232" s="60"/>
      <c r="C232" s="60"/>
      <c r="D232" s="65"/>
      <c r="E232" s="65"/>
    </row>
    <row r="233" spans="1:5">
      <c r="A233" s="60"/>
      <c r="B233" s="60"/>
      <c r="C233" s="60"/>
      <c r="D233" s="65"/>
      <c r="E233" s="65"/>
    </row>
    <row r="234" spans="1:5">
      <c r="A234" s="60"/>
      <c r="B234" s="60"/>
      <c r="C234" s="60"/>
      <c r="D234" s="65"/>
      <c r="E234" s="65"/>
    </row>
    <row r="235" spans="1:5">
      <c r="A235" s="60"/>
      <c r="B235" s="60"/>
      <c r="C235" s="60"/>
      <c r="D235" s="65"/>
      <c r="E235" s="65"/>
    </row>
    <row r="236" spans="1:5">
      <c r="A236" s="60"/>
      <c r="B236" s="60"/>
      <c r="C236" s="60"/>
      <c r="D236" s="65"/>
      <c r="E236" s="65"/>
    </row>
    <row r="237" spans="1:5">
      <c r="A237" s="60"/>
      <c r="B237" s="60"/>
      <c r="C237" s="60"/>
      <c r="D237" s="65"/>
      <c r="E237" s="65"/>
    </row>
    <row r="238" spans="1:5">
      <c r="A238" s="60"/>
      <c r="B238" s="60"/>
      <c r="C238" s="60"/>
      <c r="D238" s="65"/>
      <c r="E238" s="65"/>
    </row>
    <row r="239" spans="1:5">
      <c r="A239" s="60"/>
      <c r="B239" s="60"/>
      <c r="C239" s="60"/>
      <c r="D239" s="65"/>
      <c r="E239" s="65"/>
    </row>
    <row r="240" spans="1:5">
      <c r="A240" s="60"/>
      <c r="B240" s="60"/>
      <c r="C240" s="60"/>
      <c r="D240" s="65"/>
      <c r="E240" s="65"/>
    </row>
    <row r="241" spans="1:5">
      <c r="A241" s="60"/>
      <c r="B241" s="60"/>
      <c r="C241" s="60"/>
      <c r="D241" s="65"/>
      <c r="E241" s="65"/>
    </row>
    <row r="242" spans="1:5">
      <c r="A242" s="60"/>
      <c r="B242" s="60"/>
      <c r="C242" s="60"/>
      <c r="D242" s="65"/>
      <c r="E242" s="65"/>
    </row>
    <row r="243" spans="1:5">
      <c r="A243" s="60"/>
      <c r="B243" s="60"/>
      <c r="C243" s="60"/>
      <c r="D243" s="65"/>
      <c r="E243" s="65"/>
    </row>
    <row r="244" spans="1:5">
      <c r="A244" s="60"/>
      <c r="B244" s="60"/>
      <c r="C244" s="60"/>
      <c r="D244" s="65"/>
      <c r="E244" s="65"/>
    </row>
    <row r="245" spans="1:5">
      <c r="A245" s="60"/>
      <c r="B245" s="60"/>
      <c r="C245" s="60"/>
      <c r="D245" s="65"/>
      <c r="E245" s="65"/>
    </row>
    <row r="246" spans="1:5">
      <c r="A246" s="60"/>
      <c r="B246" s="60"/>
      <c r="C246" s="60"/>
      <c r="D246" s="65"/>
      <c r="E246" s="65"/>
    </row>
    <row r="247" spans="1:5">
      <c r="A247" s="60"/>
      <c r="B247" s="60"/>
      <c r="C247" s="60"/>
      <c r="D247" s="65"/>
      <c r="E247" s="65"/>
    </row>
    <row r="248" spans="1:5">
      <c r="A248" s="60"/>
      <c r="B248" s="60"/>
      <c r="C248" s="60"/>
      <c r="D248" s="65"/>
      <c r="E248" s="65"/>
    </row>
    <row r="249" spans="1:5">
      <c r="A249" s="60"/>
      <c r="B249" s="60"/>
      <c r="C249" s="60"/>
      <c r="D249" s="65"/>
      <c r="E249" s="64"/>
    </row>
    <row r="250" spans="1:5">
      <c r="A250" s="60"/>
      <c r="B250" s="60"/>
      <c r="C250" s="60"/>
      <c r="D250" s="65"/>
      <c r="E250" s="65"/>
    </row>
    <row r="251" spans="1:5">
      <c r="A251" s="60"/>
      <c r="B251" s="60"/>
      <c r="C251" s="60"/>
      <c r="D251" s="65"/>
      <c r="E251" s="65"/>
    </row>
    <row r="252" spans="1:5">
      <c r="A252" s="60"/>
      <c r="B252" s="60"/>
      <c r="C252" s="60"/>
      <c r="D252" s="64"/>
      <c r="E252" s="64"/>
    </row>
    <row r="253" spans="1:5">
      <c r="A253" s="60"/>
      <c r="B253" s="60"/>
      <c r="C253" s="60"/>
      <c r="D253" s="65"/>
      <c r="E253" s="65"/>
    </row>
    <row r="254" spans="1:5">
      <c r="A254" s="60"/>
      <c r="B254" s="60"/>
      <c r="C254" s="60"/>
      <c r="D254" s="65"/>
      <c r="E254" s="65"/>
    </row>
    <row r="255" spans="1:5">
      <c r="A255" s="60"/>
      <c r="B255" s="60"/>
      <c r="C255" s="60"/>
      <c r="D255" s="65"/>
      <c r="E255" s="65"/>
    </row>
    <row r="256" spans="1:5">
      <c r="A256" s="60"/>
      <c r="B256" s="60"/>
      <c r="C256" s="60"/>
      <c r="D256" s="65"/>
      <c r="E256" s="65"/>
    </row>
    <row r="257" spans="1:5">
      <c r="A257" s="60"/>
      <c r="B257" s="60"/>
      <c r="C257" s="60"/>
      <c r="D257" s="65"/>
      <c r="E257" s="65"/>
    </row>
    <row r="258" spans="1:5">
      <c r="A258" s="60"/>
      <c r="B258" s="60"/>
      <c r="C258" s="60"/>
      <c r="D258" s="65"/>
      <c r="E258" s="65"/>
    </row>
    <row r="259" spans="1:5">
      <c r="A259" s="60"/>
      <c r="B259" s="60"/>
      <c r="C259" s="60"/>
      <c r="D259" s="65"/>
      <c r="E259" s="65"/>
    </row>
    <row r="260" spans="1:5">
      <c r="A260" s="60"/>
      <c r="B260" s="60"/>
      <c r="C260" s="60"/>
      <c r="D260" s="65"/>
      <c r="E260" s="65"/>
    </row>
    <row r="261" spans="1:5">
      <c r="A261" s="60"/>
      <c r="B261" s="60"/>
      <c r="C261" s="60"/>
      <c r="D261" s="65"/>
      <c r="E261" s="65"/>
    </row>
    <row r="262" spans="1:5">
      <c r="A262" s="60"/>
      <c r="B262" s="60"/>
      <c r="C262" s="60"/>
      <c r="D262" s="65"/>
      <c r="E262" s="65"/>
    </row>
    <row r="263" spans="1:5">
      <c r="A263" s="60"/>
      <c r="B263" s="60"/>
      <c r="C263" s="60"/>
      <c r="D263" s="65"/>
      <c r="E263" s="65"/>
    </row>
    <row r="264" spans="1:5">
      <c r="A264" s="60"/>
      <c r="B264" s="60"/>
      <c r="C264" s="60"/>
      <c r="D264" s="65"/>
      <c r="E264" s="65"/>
    </row>
    <row r="265" spans="1:5">
      <c r="A265" s="60"/>
      <c r="B265" s="60"/>
      <c r="C265" s="60"/>
      <c r="D265" s="65"/>
      <c r="E265" s="65"/>
    </row>
    <row r="266" spans="1:5">
      <c r="A266" s="60"/>
      <c r="B266" s="60"/>
      <c r="C266" s="60"/>
      <c r="D266" s="65"/>
      <c r="E266" s="65"/>
    </row>
    <row r="267" spans="1:5">
      <c r="A267" s="60"/>
      <c r="B267" s="60"/>
      <c r="C267" s="60"/>
      <c r="D267" s="65"/>
      <c r="E267" s="65"/>
    </row>
    <row r="268" spans="1:5">
      <c r="A268" s="60"/>
      <c r="B268" s="60"/>
      <c r="C268" s="60"/>
      <c r="D268" s="65"/>
      <c r="E268" s="65"/>
    </row>
    <row r="269" spans="1:5">
      <c r="A269" s="60"/>
      <c r="B269" s="60"/>
      <c r="C269" s="60"/>
      <c r="D269" s="65"/>
      <c r="E269" s="65"/>
    </row>
    <row r="270" spans="1:5">
      <c r="A270" s="60"/>
      <c r="B270" s="60"/>
      <c r="C270" s="60"/>
      <c r="D270" s="65"/>
      <c r="E270" s="65"/>
    </row>
    <row r="271" spans="1:5">
      <c r="A271" s="60"/>
      <c r="B271" s="60"/>
      <c r="C271" s="60"/>
      <c r="D271" s="65"/>
      <c r="E271" s="65"/>
    </row>
    <row r="272" spans="1:5">
      <c r="A272" s="60"/>
      <c r="B272" s="60"/>
      <c r="C272" s="60"/>
      <c r="D272" s="65"/>
      <c r="E272" s="65"/>
    </row>
    <row r="273" spans="1:5">
      <c r="A273" s="60"/>
      <c r="B273" s="60"/>
      <c r="C273" s="60"/>
      <c r="D273" s="65"/>
      <c r="E273" s="65"/>
    </row>
    <row r="274" spans="1:5">
      <c r="A274" s="60"/>
      <c r="B274" s="60"/>
      <c r="C274" s="60"/>
      <c r="D274" s="65"/>
      <c r="E274" s="65"/>
    </row>
    <row r="275" spans="1:5">
      <c r="A275" s="60"/>
      <c r="B275" s="60"/>
      <c r="C275" s="60"/>
      <c r="D275" s="65"/>
      <c r="E275" s="65"/>
    </row>
    <row r="276" spans="1:5">
      <c r="A276" s="60"/>
      <c r="B276" s="60"/>
      <c r="C276" s="60"/>
      <c r="D276" s="65"/>
      <c r="E276" s="65"/>
    </row>
    <row r="277" spans="1:5">
      <c r="A277" s="60"/>
      <c r="B277" s="60"/>
      <c r="C277" s="60"/>
      <c r="D277" s="65"/>
      <c r="E277" s="65"/>
    </row>
    <row r="278" spans="1:5">
      <c r="A278" s="60"/>
      <c r="B278" s="60"/>
      <c r="C278" s="60"/>
      <c r="D278" s="65"/>
      <c r="E278" s="65"/>
    </row>
    <row r="279" spans="1:5">
      <c r="A279" s="60"/>
      <c r="B279" s="60"/>
      <c r="C279" s="60"/>
      <c r="D279" s="64"/>
      <c r="E279" s="65"/>
    </row>
    <row r="280" spans="1:5">
      <c r="A280" s="60"/>
      <c r="B280" s="60"/>
      <c r="C280" s="60"/>
      <c r="D280" s="65"/>
      <c r="E280" s="65"/>
    </row>
    <row r="281" spans="1:5">
      <c r="A281" s="60"/>
      <c r="B281" s="60"/>
      <c r="C281" s="60"/>
      <c r="D281" s="65"/>
      <c r="E281" s="65"/>
    </row>
    <row r="282" spans="1:5">
      <c r="A282" s="60"/>
      <c r="B282" s="60"/>
      <c r="C282" s="60"/>
      <c r="D282" s="65"/>
      <c r="E282" s="65"/>
    </row>
    <row r="283" spans="1:5">
      <c r="A283" s="60"/>
      <c r="B283" s="60"/>
      <c r="C283" s="60"/>
      <c r="D283" s="65"/>
      <c r="E283" s="65"/>
    </row>
    <row r="284" spans="1:5">
      <c r="A284" s="60"/>
      <c r="B284" s="60"/>
      <c r="C284" s="60"/>
      <c r="D284" s="65"/>
      <c r="E284" s="65"/>
    </row>
    <row r="285" spans="1:5">
      <c r="A285" s="60"/>
      <c r="B285" s="60"/>
      <c r="C285" s="60"/>
      <c r="D285" s="65"/>
      <c r="E285" s="65"/>
    </row>
    <row r="286" spans="1:5">
      <c r="A286" s="60"/>
      <c r="B286" s="60"/>
      <c r="C286" s="60"/>
      <c r="D286" s="65"/>
      <c r="E286" s="65"/>
    </row>
    <row r="287" spans="1:5">
      <c r="A287" s="60"/>
      <c r="B287" s="60"/>
      <c r="C287" s="60"/>
      <c r="D287" s="65"/>
      <c r="E287" s="65"/>
    </row>
    <row r="288" spans="1:5">
      <c r="A288" s="60"/>
      <c r="B288" s="60"/>
      <c r="C288" s="60"/>
      <c r="D288" s="65"/>
      <c r="E288" s="65"/>
    </row>
    <row r="289" spans="1:5">
      <c r="A289" s="60"/>
      <c r="B289" s="60"/>
      <c r="C289" s="60"/>
      <c r="D289" s="65"/>
      <c r="E289" s="65"/>
    </row>
    <row r="290" spans="1:5">
      <c r="A290" s="60"/>
      <c r="B290" s="60"/>
      <c r="C290" s="60"/>
      <c r="D290" s="65"/>
      <c r="E290" s="65"/>
    </row>
    <row r="291" spans="1:5">
      <c r="A291" s="60"/>
      <c r="B291" s="60"/>
      <c r="C291" s="60"/>
      <c r="D291" s="65"/>
      <c r="E291" s="65"/>
    </row>
    <row r="292" spans="1:5">
      <c r="A292" s="60"/>
      <c r="B292" s="60"/>
      <c r="C292" s="60"/>
      <c r="D292" s="65"/>
      <c r="E292" s="65"/>
    </row>
    <row r="293" spans="1:5">
      <c r="A293" s="60"/>
      <c r="B293" s="60"/>
      <c r="C293" s="60"/>
      <c r="D293" s="65"/>
      <c r="E293" s="65"/>
    </row>
    <row r="294" spans="1:5">
      <c r="A294" s="60"/>
      <c r="B294" s="60"/>
      <c r="C294" s="60"/>
      <c r="D294" s="65"/>
      <c r="E294" s="65"/>
    </row>
    <row r="295" spans="1:5">
      <c r="A295" s="60"/>
      <c r="B295" s="60"/>
      <c r="C295" s="60"/>
      <c r="D295" s="65"/>
      <c r="E295" s="65"/>
    </row>
    <row r="296" spans="1:5">
      <c r="A296" s="60"/>
      <c r="B296" s="60"/>
      <c r="C296" s="60"/>
      <c r="D296" s="65"/>
      <c r="E296" s="65"/>
    </row>
    <row r="297" spans="1:5">
      <c r="A297" s="60"/>
      <c r="B297" s="60"/>
      <c r="C297" s="60"/>
      <c r="D297" s="65"/>
      <c r="E297" s="65"/>
    </row>
    <row r="298" spans="1:5">
      <c r="A298" s="60"/>
      <c r="B298" s="60"/>
      <c r="C298" s="60"/>
      <c r="D298" s="65"/>
      <c r="E298" s="65"/>
    </row>
    <row r="299" spans="1:5">
      <c r="A299" s="60"/>
      <c r="B299" s="60"/>
      <c r="C299" s="60"/>
      <c r="D299" s="65"/>
      <c r="E299" s="65"/>
    </row>
    <row r="300" spans="1:5">
      <c r="A300" s="60"/>
      <c r="B300" s="60"/>
      <c r="C300" s="60"/>
      <c r="D300" s="65"/>
      <c r="E300" s="65"/>
    </row>
    <row r="301" spans="1:5">
      <c r="A301" s="60"/>
      <c r="B301" s="60"/>
      <c r="C301" s="60"/>
      <c r="D301" s="65"/>
      <c r="E301" s="65"/>
    </row>
    <row r="302" spans="1:5">
      <c r="A302" s="60"/>
      <c r="B302" s="60"/>
      <c r="C302" s="60"/>
      <c r="D302" s="65"/>
      <c r="E302" s="65"/>
    </row>
    <row r="303" spans="1:5">
      <c r="A303" s="60"/>
      <c r="B303" s="60"/>
      <c r="C303" s="60"/>
      <c r="D303" s="65"/>
      <c r="E303" s="65"/>
    </row>
    <row r="304" spans="1:5">
      <c r="A304" s="60"/>
      <c r="B304" s="60"/>
      <c r="C304" s="60"/>
      <c r="D304" s="65"/>
      <c r="E304" s="65"/>
    </row>
    <row r="305" spans="1:5">
      <c r="A305" s="60"/>
      <c r="B305" s="60"/>
      <c r="C305" s="60"/>
      <c r="D305" s="65"/>
      <c r="E305" s="65"/>
    </row>
    <row r="306" spans="1:5">
      <c r="A306" s="60"/>
      <c r="B306" s="60"/>
      <c r="C306" s="60"/>
      <c r="D306" s="64"/>
      <c r="E306" s="65"/>
    </row>
    <row r="307" spans="1:5">
      <c r="A307" s="60"/>
      <c r="B307" s="60"/>
      <c r="C307" s="60"/>
      <c r="D307" s="65"/>
      <c r="E307" s="65"/>
    </row>
    <row r="308" spans="1:5">
      <c r="A308" s="60"/>
      <c r="B308" s="60"/>
      <c r="C308" s="60"/>
      <c r="D308" s="65"/>
      <c r="E308" s="65"/>
    </row>
    <row r="309" spans="1:5">
      <c r="A309" s="60"/>
      <c r="B309" s="60"/>
      <c r="C309" s="60"/>
      <c r="D309" s="65"/>
      <c r="E309" s="65"/>
    </row>
    <row r="310" spans="1:5">
      <c r="A310" s="60"/>
      <c r="B310" s="60"/>
      <c r="C310" s="60"/>
      <c r="D310" s="65"/>
      <c r="E310" s="65"/>
    </row>
    <row r="311" spans="1:5">
      <c r="A311" s="60"/>
      <c r="B311" s="60"/>
      <c r="C311" s="60"/>
      <c r="D311" s="65"/>
      <c r="E311" s="65"/>
    </row>
    <row r="312" spans="1:5">
      <c r="A312" s="60"/>
      <c r="B312" s="60"/>
      <c r="C312" s="60"/>
      <c r="D312" s="65"/>
      <c r="E312" s="65"/>
    </row>
    <row r="313" spans="1:5">
      <c r="A313" s="60"/>
      <c r="B313" s="60"/>
      <c r="C313" s="60"/>
      <c r="D313" s="65"/>
      <c r="E313" s="65"/>
    </row>
    <row r="314" spans="1:5">
      <c r="A314" s="60"/>
      <c r="B314" s="60"/>
      <c r="C314" s="60"/>
      <c r="D314" s="65"/>
      <c r="E314" s="65"/>
    </row>
    <row r="315" spans="1:5">
      <c r="A315" s="60"/>
      <c r="B315" s="60"/>
      <c r="C315" s="60"/>
      <c r="D315" s="65"/>
      <c r="E315" s="65"/>
    </row>
    <row r="316" spans="1:5">
      <c r="A316" s="60"/>
      <c r="B316" s="60"/>
      <c r="C316" s="60"/>
      <c r="D316" s="65"/>
      <c r="E316" s="65"/>
    </row>
    <row r="317" spans="1:5">
      <c r="A317" s="60"/>
      <c r="B317" s="60"/>
      <c r="C317" s="60"/>
      <c r="D317" s="65"/>
      <c r="E317" s="65"/>
    </row>
    <row r="318" spans="1:5">
      <c r="A318" s="60"/>
      <c r="B318" s="60"/>
      <c r="C318" s="60"/>
      <c r="D318" s="65"/>
      <c r="E318" s="65"/>
    </row>
    <row r="319" spans="1:5">
      <c r="A319" s="60"/>
      <c r="B319" s="60"/>
      <c r="C319" s="60"/>
      <c r="D319" s="65"/>
      <c r="E319" s="65"/>
    </row>
    <row r="320" spans="1:5">
      <c r="A320" s="60"/>
      <c r="B320" s="60"/>
      <c r="C320" s="60"/>
      <c r="D320" s="65"/>
      <c r="E320" s="65"/>
    </row>
    <row r="321" spans="1:5">
      <c r="A321" s="60"/>
      <c r="B321" s="60"/>
      <c r="C321" s="60"/>
      <c r="D321" s="65"/>
      <c r="E321" s="65"/>
    </row>
    <row r="322" spans="1:5">
      <c r="A322" s="60"/>
      <c r="B322" s="60"/>
      <c r="C322" s="60"/>
      <c r="D322" s="65"/>
      <c r="E322" s="65"/>
    </row>
    <row r="323" spans="1:5">
      <c r="A323" s="60"/>
      <c r="B323" s="60"/>
      <c r="C323" s="60"/>
      <c r="D323" s="65"/>
      <c r="E323" s="65"/>
    </row>
    <row r="324" spans="1:5">
      <c r="A324" s="60"/>
      <c r="B324" s="60"/>
      <c r="C324" s="60"/>
      <c r="D324" s="65"/>
      <c r="E324" s="65"/>
    </row>
    <row r="325" spans="1:5">
      <c r="A325" s="60"/>
      <c r="B325" s="60"/>
      <c r="C325" s="60"/>
      <c r="D325" s="65"/>
      <c r="E325" s="65"/>
    </row>
    <row r="326" spans="1:5">
      <c r="A326" s="60"/>
      <c r="B326" s="60"/>
      <c r="C326" s="60"/>
      <c r="D326" s="65"/>
      <c r="E326" s="65"/>
    </row>
    <row r="327" spans="1:5">
      <c r="A327" s="60"/>
      <c r="B327" s="60"/>
      <c r="C327" s="60"/>
      <c r="D327" s="65"/>
      <c r="E327" s="65"/>
    </row>
    <row r="328" spans="1:5">
      <c r="A328" s="60"/>
      <c r="B328" s="60"/>
      <c r="C328" s="60"/>
      <c r="D328" s="65"/>
      <c r="E328" s="65"/>
    </row>
    <row r="329" spans="1:5">
      <c r="A329" s="60"/>
      <c r="B329" s="60"/>
      <c r="C329" s="60"/>
      <c r="D329" s="65"/>
      <c r="E329" s="65"/>
    </row>
    <row r="330" spans="1:5">
      <c r="A330" s="60"/>
      <c r="B330" s="60"/>
      <c r="C330" s="60"/>
      <c r="D330" s="65"/>
      <c r="E330" s="65"/>
    </row>
    <row r="331" spans="1:5">
      <c r="A331" s="60"/>
      <c r="B331" s="60"/>
      <c r="C331" s="60"/>
      <c r="D331" s="64"/>
      <c r="E331" s="65"/>
    </row>
    <row r="332" spans="1:5">
      <c r="A332" s="60"/>
      <c r="B332" s="60"/>
      <c r="C332" s="60"/>
      <c r="D332" s="65"/>
      <c r="E332" s="65"/>
    </row>
    <row r="333" spans="1:5">
      <c r="A333" s="60"/>
      <c r="B333" s="60"/>
      <c r="C333" s="60"/>
      <c r="D333" s="65"/>
      <c r="E333" s="65"/>
    </row>
    <row r="334" spans="1:5">
      <c r="A334" s="60"/>
      <c r="B334" s="60"/>
      <c r="C334" s="60"/>
      <c r="D334" s="65"/>
      <c r="E334" s="65"/>
    </row>
    <row r="335" spans="1:5">
      <c r="A335" s="60"/>
      <c r="B335" s="60"/>
      <c r="C335" s="60"/>
      <c r="D335" s="65"/>
      <c r="E335" s="65"/>
    </row>
    <row r="336" spans="1:5">
      <c r="A336" s="60"/>
      <c r="B336" s="60"/>
      <c r="C336" s="60"/>
      <c r="D336" s="65"/>
      <c r="E336" s="65"/>
    </row>
    <row r="337" spans="1:5">
      <c r="A337" s="60"/>
      <c r="B337" s="60"/>
      <c r="C337" s="60"/>
      <c r="D337" s="65"/>
      <c r="E337" s="65"/>
    </row>
    <row r="338" spans="1:5">
      <c r="A338" s="60"/>
      <c r="B338" s="60"/>
      <c r="C338" s="60"/>
      <c r="D338" s="65"/>
      <c r="E338" s="65"/>
    </row>
    <row r="339" spans="1:5">
      <c r="A339" s="60"/>
      <c r="B339" s="60"/>
      <c r="C339" s="60"/>
      <c r="D339" s="65"/>
      <c r="E339" s="65"/>
    </row>
    <row r="340" spans="1:5">
      <c r="A340" s="60"/>
      <c r="B340" s="60"/>
      <c r="C340" s="60"/>
      <c r="D340" s="65"/>
      <c r="E340" s="65"/>
    </row>
    <row r="341" spans="1:5">
      <c r="A341" s="60"/>
      <c r="B341" s="60"/>
      <c r="C341" s="60"/>
      <c r="D341" s="65"/>
      <c r="E341" s="65"/>
    </row>
    <row r="342" spans="1:5">
      <c r="A342" s="60"/>
      <c r="B342" s="60"/>
      <c r="C342" s="60"/>
      <c r="D342" s="65"/>
      <c r="E342" s="65"/>
    </row>
    <row r="343" spans="1:5">
      <c r="A343" s="60"/>
      <c r="B343" s="60"/>
      <c r="C343" s="60"/>
      <c r="D343" s="65"/>
      <c r="E343" s="65"/>
    </row>
    <row r="344" spans="1:5">
      <c r="A344" s="60"/>
      <c r="B344" s="60"/>
      <c r="C344" s="60"/>
      <c r="D344" s="65"/>
      <c r="E344" s="65"/>
    </row>
    <row r="345" spans="1:5">
      <c r="A345" s="60"/>
      <c r="B345" s="60"/>
      <c r="C345" s="60"/>
      <c r="D345" s="65"/>
      <c r="E345" s="65"/>
    </row>
    <row r="346" spans="1:5">
      <c r="A346" s="60"/>
      <c r="B346" s="60"/>
      <c r="C346" s="60"/>
      <c r="D346" s="65"/>
      <c r="E346" s="65"/>
    </row>
    <row r="347" spans="1:5">
      <c r="A347" s="60"/>
      <c r="B347" s="60"/>
      <c r="C347" s="60"/>
      <c r="D347" s="65"/>
      <c r="E347" s="65"/>
    </row>
    <row r="348" spans="1:5">
      <c r="A348" s="60"/>
      <c r="B348" s="60"/>
      <c r="C348" s="60"/>
      <c r="D348" s="65"/>
      <c r="E348" s="65"/>
    </row>
    <row r="349" spans="1:5">
      <c r="A349" s="60"/>
      <c r="B349" s="60"/>
      <c r="C349" s="60"/>
      <c r="D349" s="65"/>
      <c r="E349" s="65"/>
    </row>
    <row r="350" spans="1:5">
      <c r="A350" s="60"/>
      <c r="B350" s="60"/>
      <c r="C350" s="60"/>
      <c r="D350" s="65"/>
      <c r="E350" s="65"/>
    </row>
    <row r="351" spans="1:5">
      <c r="A351" s="60"/>
      <c r="B351" s="60"/>
      <c r="C351" s="60"/>
      <c r="D351" s="65"/>
      <c r="E351" s="65"/>
    </row>
    <row r="352" spans="1:5">
      <c r="A352" s="60"/>
      <c r="B352" s="60"/>
      <c r="C352" s="60"/>
      <c r="D352" s="65"/>
      <c r="E352" s="65"/>
    </row>
    <row r="353" spans="1:5">
      <c r="A353" s="60"/>
      <c r="B353" s="60"/>
      <c r="C353" s="60"/>
      <c r="D353" s="65"/>
      <c r="E353" s="65"/>
    </row>
    <row r="354" spans="1:5">
      <c r="A354" s="60"/>
      <c r="B354" s="60"/>
      <c r="C354" s="60"/>
      <c r="D354" s="65"/>
      <c r="E354" s="65"/>
    </row>
    <row r="355" spans="1:5">
      <c r="A355" s="60"/>
      <c r="B355" s="60"/>
      <c r="C355" s="60"/>
      <c r="D355" s="65"/>
      <c r="E355" s="65"/>
    </row>
    <row r="356" spans="1:5">
      <c r="A356" s="60"/>
      <c r="B356" s="60"/>
      <c r="C356" s="60"/>
      <c r="D356" s="65"/>
      <c r="E356" s="65"/>
    </row>
    <row r="357" spans="1:5">
      <c r="A357" s="60"/>
      <c r="B357" s="60"/>
      <c r="C357" s="60"/>
      <c r="D357" s="65"/>
      <c r="E357" s="65"/>
    </row>
    <row r="358" spans="1:5">
      <c r="A358" s="60"/>
      <c r="B358" s="60"/>
      <c r="C358" s="60"/>
      <c r="D358" s="65"/>
      <c r="E358" s="65"/>
    </row>
    <row r="359" spans="1:5">
      <c r="A359" s="60"/>
      <c r="B359" s="60"/>
      <c r="C359" s="60"/>
      <c r="D359" s="65"/>
      <c r="E359" s="65"/>
    </row>
    <row r="360" spans="1:5">
      <c r="A360" s="60"/>
      <c r="B360" s="60"/>
      <c r="C360" s="60"/>
      <c r="D360" s="64"/>
      <c r="E360" s="65"/>
    </row>
    <row r="361" spans="1:5">
      <c r="A361" s="60"/>
      <c r="B361" s="60"/>
      <c r="C361" s="60"/>
      <c r="D361" s="65"/>
      <c r="E361" s="65"/>
    </row>
    <row r="362" spans="1:5">
      <c r="A362" s="60"/>
      <c r="B362" s="60"/>
      <c r="C362" s="60"/>
      <c r="D362" s="65"/>
      <c r="E362" s="65"/>
    </row>
    <row r="363" spans="1:5">
      <c r="A363" s="60"/>
      <c r="B363" s="60"/>
      <c r="C363" s="60"/>
      <c r="D363" s="65"/>
      <c r="E363" s="65"/>
    </row>
    <row r="364" spans="1:5">
      <c r="A364" s="60"/>
      <c r="B364" s="60"/>
      <c r="C364" s="60"/>
      <c r="D364" s="65"/>
      <c r="E364" s="65"/>
    </row>
    <row r="365" spans="1:5">
      <c r="A365" s="60"/>
      <c r="B365" s="60"/>
      <c r="C365" s="60"/>
      <c r="D365" s="65"/>
      <c r="E365" s="65"/>
    </row>
    <row r="366" spans="1:5">
      <c r="A366" s="60"/>
      <c r="B366" s="60"/>
      <c r="C366" s="60"/>
      <c r="D366" s="65"/>
      <c r="E366" s="65"/>
    </row>
    <row r="367" spans="1:5">
      <c r="A367" s="60"/>
      <c r="B367" s="60"/>
      <c r="C367" s="60"/>
      <c r="D367" s="65"/>
      <c r="E367" s="65"/>
    </row>
    <row r="368" spans="1:5">
      <c r="A368" s="60"/>
      <c r="B368" s="60"/>
      <c r="C368" s="60"/>
      <c r="D368" s="65"/>
      <c r="E368" s="65"/>
    </row>
    <row r="369" spans="1:5">
      <c r="A369" s="60"/>
      <c r="B369" s="60"/>
      <c r="C369" s="60"/>
      <c r="D369" s="65"/>
      <c r="E369" s="65"/>
    </row>
    <row r="370" spans="1:5">
      <c r="A370" s="60"/>
      <c r="B370" s="60"/>
      <c r="C370" s="60"/>
      <c r="D370" s="65"/>
      <c r="E370" s="65"/>
    </row>
    <row r="371" spans="1:5">
      <c r="A371" s="60"/>
      <c r="B371" s="60"/>
      <c r="C371" s="60"/>
      <c r="D371" s="65"/>
      <c r="E371" s="65"/>
    </row>
    <row r="372" spans="1:5">
      <c r="A372" s="60"/>
      <c r="B372" s="60"/>
      <c r="C372" s="60"/>
      <c r="D372" s="65"/>
      <c r="E372" s="65"/>
    </row>
    <row r="373" spans="1:5">
      <c r="A373" s="60"/>
      <c r="B373" s="60"/>
      <c r="C373" s="60"/>
      <c r="D373" s="65"/>
      <c r="E373" s="65"/>
    </row>
    <row r="374" spans="1:5">
      <c r="A374" s="60"/>
      <c r="B374" s="60"/>
      <c r="C374" s="60"/>
      <c r="D374" s="65"/>
      <c r="E374" s="65"/>
    </row>
    <row r="375" spans="1:5">
      <c r="A375" s="60"/>
      <c r="B375" s="60"/>
      <c r="C375" s="60"/>
      <c r="D375" s="65"/>
      <c r="E375" s="65"/>
    </row>
    <row r="376" spans="1:5">
      <c r="A376" s="60"/>
      <c r="B376" s="60"/>
      <c r="C376" s="60"/>
      <c r="D376" s="65"/>
      <c r="E376" s="65"/>
    </row>
    <row r="377" spans="1:5">
      <c r="A377" s="60"/>
      <c r="B377" s="60"/>
      <c r="C377" s="60"/>
      <c r="D377" s="65"/>
      <c r="E377" s="65"/>
    </row>
    <row r="378" spans="1:5">
      <c r="A378" s="60"/>
      <c r="B378" s="60"/>
      <c r="C378" s="60"/>
      <c r="D378" s="65"/>
      <c r="E378" s="65"/>
    </row>
    <row r="379" spans="1:5">
      <c r="A379" s="60"/>
      <c r="B379" s="60"/>
      <c r="C379" s="60"/>
      <c r="D379" s="65"/>
      <c r="E379" s="65"/>
    </row>
    <row r="380" spans="1:5">
      <c r="A380" s="60"/>
      <c r="B380" s="60"/>
      <c r="C380" s="60"/>
      <c r="D380" s="65"/>
      <c r="E380" s="65"/>
    </row>
    <row r="381" spans="1:5">
      <c r="A381" s="60"/>
      <c r="B381" s="60"/>
      <c r="C381" s="60"/>
      <c r="D381" s="65"/>
      <c r="E381" s="65"/>
    </row>
    <row r="382" spans="1:5">
      <c r="A382" s="60"/>
      <c r="B382" s="60"/>
      <c r="C382" s="60"/>
      <c r="D382" s="65"/>
      <c r="E382" s="65"/>
    </row>
    <row r="383" spans="1:5">
      <c r="A383" s="60"/>
      <c r="B383" s="60"/>
      <c r="C383" s="60"/>
      <c r="D383" s="65"/>
      <c r="E383" s="65"/>
    </row>
    <row r="384" spans="1:5">
      <c r="A384" s="60"/>
      <c r="B384" s="60"/>
      <c r="C384" s="60"/>
      <c r="D384" s="65"/>
      <c r="E384" s="65"/>
    </row>
    <row r="385" spans="1:5">
      <c r="A385" s="60"/>
      <c r="B385" s="60"/>
      <c r="C385" s="60"/>
      <c r="D385" s="65"/>
      <c r="E385" s="65"/>
    </row>
    <row r="386" spans="1:5">
      <c r="A386" s="60"/>
      <c r="B386" s="60"/>
      <c r="C386" s="60"/>
      <c r="D386" s="65"/>
      <c r="E386" s="65"/>
    </row>
    <row r="387" spans="1:5">
      <c r="A387" s="60"/>
      <c r="B387" s="60"/>
      <c r="C387" s="60"/>
      <c r="D387" s="64"/>
      <c r="E387" s="65"/>
    </row>
    <row r="388" spans="1:5">
      <c r="A388" s="60"/>
      <c r="B388" s="60"/>
      <c r="C388" s="60"/>
      <c r="D388" s="65"/>
      <c r="E388" s="65"/>
    </row>
    <row r="389" spans="1:5">
      <c r="A389" s="60"/>
      <c r="B389" s="60"/>
      <c r="C389" s="60"/>
      <c r="D389" s="65"/>
      <c r="E389" s="65"/>
    </row>
    <row r="390" spans="1:5">
      <c r="A390" s="60"/>
      <c r="B390" s="60"/>
      <c r="C390" s="60"/>
      <c r="D390" s="65"/>
      <c r="E390" s="65"/>
    </row>
    <row r="391" spans="1:5">
      <c r="A391" s="60"/>
      <c r="B391" s="60"/>
      <c r="C391" s="60"/>
      <c r="D391" s="65"/>
      <c r="E391" s="65"/>
    </row>
    <row r="392" spans="1:5">
      <c r="A392" s="60"/>
      <c r="B392" s="60"/>
      <c r="C392" s="60"/>
      <c r="D392" s="65"/>
      <c r="E392" s="65"/>
    </row>
    <row r="393" spans="1:5">
      <c r="A393" s="60"/>
      <c r="B393" s="60"/>
      <c r="C393" s="60"/>
      <c r="D393" s="65"/>
      <c r="E393" s="65"/>
    </row>
    <row r="394" spans="1:5">
      <c r="A394" s="60"/>
      <c r="B394" s="60"/>
      <c r="C394" s="60"/>
      <c r="D394" s="65"/>
      <c r="E394" s="65"/>
    </row>
    <row r="395" spans="1:5">
      <c r="A395" s="60"/>
      <c r="B395" s="60"/>
      <c r="C395" s="60"/>
      <c r="D395" s="65"/>
      <c r="E395" s="65"/>
    </row>
    <row r="396" spans="1:5">
      <c r="A396" s="60"/>
      <c r="B396" s="60"/>
      <c r="C396" s="60"/>
      <c r="D396" s="65"/>
      <c r="E396" s="65"/>
    </row>
    <row r="397" spans="1:5">
      <c r="A397" s="60"/>
      <c r="B397" s="60"/>
      <c r="C397" s="60"/>
      <c r="D397" s="65"/>
      <c r="E397" s="65"/>
    </row>
    <row r="398" spans="1:5">
      <c r="A398" s="60"/>
      <c r="B398" s="60"/>
      <c r="C398" s="60"/>
      <c r="D398" s="65"/>
      <c r="E398" s="65"/>
    </row>
    <row r="399" spans="1:5">
      <c r="A399" s="60"/>
      <c r="B399" s="60"/>
      <c r="C399" s="60"/>
      <c r="D399" s="65"/>
      <c r="E399" s="65"/>
    </row>
    <row r="400" spans="1:5">
      <c r="A400" s="60"/>
      <c r="B400" s="60"/>
      <c r="C400" s="60"/>
      <c r="D400" s="65"/>
      <c r="E400" s="65"/>
    </row>
    <row r="401" spans="1:5">
      <c r="A401" s="60"/>
      <c r="B401" s="60"/>
      <c r="C401" s="60"/>
      <c r="D401" s="65"/>
      <c r="E401" s="65"/>
    </row>
    <row r="402" spans="1:5">
      <c r="A402" s="60"/>
      <c r="B402" s="60"/>
      <c r="C402" s="60"/>
      <c r="D402" s="65"/>
      <c r="E402" s="65"/>
    </row>
    <row r="403" spans="1:5">
      <c r="A403" s="60"/>
      <c r="B403" s="60"/>
      <c r="C403" s="60"/>
      <c r="D403" s="65"/>
      <c r="E403" s="64"/>
    </row>
    <row r="404" spans="1:5">
      <c r="A404" s="60"/>
      <c r="B404" s="60"/>
      <c r="C404" s="60"/>
      <c r="D404" s="65"/>
      <c r="E404" s="65"/>
    </row>
    <row r="405" spans="1:5">
      <c r="A405" s="60"/>
      <c r="B405" s="60"/>
      <c r="C405" s="60"/>
      <c r="D405" s="65"/>
      <c r="E405" s="65"/>
    </row>
    <row r="406" spans="1:5">
      <c r="A406" s="60"/>
      <c r="B406" s="60"/>
      <c r="C406" s="60"/>
      <c r="D406" s="65"/>
      <c r="E406" s="65"/>
    </row>
    <row r="407" spans="1:5">
      <c r="A407" s="60"/>
      <c r="B407" s="60"/>
      <c r="C407" s="60"/>
      <c r="D407" s="65"/>
      <c r="E407" s="65"/>
    </row>
    <row r="408" spans="1:5">
      <c r="A408" s="60"/>
      <c r="B408" s="60"/>
      <c r="C408" s="60"/>
      <c r="D408" s="65"/>
      <c r="E408" s="65"/>
    </row>
    <row r="409" spans="1:5">
      <c r="A409" s="60"/>
      <c r="B409" s="60"/>
      <c r="C409" s="60"/>
      <c r="D409" s="65"/>
      <c r="E409" s="65"/>
    </row>
    <row r="410" spans="1:5">
      <c r="A410" s="60"/>
      <c r="B410" s="60"/>
      <c r="C410" s="60"/>
      <c r="D410" s="65"/>
      <c r="E410" s="65"/>
    </row>
    <row r="411" spans="1:5">
      <c r="A411" s="60"/>
      <c r="B411" s="60"/>
      <c r="C411" s="60"/>
      <c r="D411" s="65"/>
      <c r="E411" s="64"/>
    </row>
    <row r="412" spans="1:5">
      <c r="A412" s="60"/>
      <c r="B412" s="60"/>
      <c r="C412" s="60"/>
      <c r="D412" s="65"/>
      <c r="E412" s="65"/>
    </row>
    <row r="413" spans="1:5">
      <c r="A413" s="60"/>
      <c r="B413" s="60"/>
      <c r="C413" s="60"/>
      <c r="D413" s="65"/>
      <c r="E413" s="65"/>
    </row>
    <row r="414" spans="1:5">
      <c r="A414" s="60"/>
      <c r="B414" s="60"/>
      <c r="C414" s="60"/>
      <c r="D414" s="64"/>
      <c r="E414" s="64"/>
    </row>
    <row r="415" spans="1:5">
      <c r="A415" s="60"/>
      <c r="B415" s="60"/>
      <c r="C415" s="60"/>
      <c r="D415" s="65"/>
      <c r="E415" s="65"/>
    </row>
    <row r="416" spans="1:5">
      <c r="A416" s="60"/>
      <c r="B416" s="60"/>
      <c r="C416" s="60"/>
      <c r="D416" s="65"/>
      <c r="E416" s="65"/>
    </row>
    <row r="417" spans="1:5">
      <c r="A417" s="60"/>
      <c r="B417" s="60"/>
      <c r="C417" s="60"/>
      <c r="D417" s="65"/>
      <c r="E417" s="65"/>
    </row>
    <row r="418" spans="1:5">
      <c r="A418" s="60"/>
      <c r="B418" s="60"/>
      <c r="C418" s="60"/>
      <c r="D418" s="65"/>
      <c r="E418" s="65"/>
    </row>
    <row r="419" spans="1:5">
      <c r="A419" s="60"/>
      <c r="B419" s="60"/>
      <c r="C419" s="60"/>
      <c r="D419" s="65"/>
      <c r="E419" s="65"/>
    </row>
    <row r="420" spans="1:5">
      <c r="A420" s="60"/>
      <c r="B420" s="60"/>
      <c r="C420" s="60"/>
      <c r="D420" s="65"/>
      <c r="E420" s="65"/>
    </row>
    <row r="421" spans="1:5">
      <c r="A421" s="60"/>
      <c r="B421" s="60"/>
      <c r="C421" s="60"/>
      <c r="D421" s="65"/>
      <c r="E421" s="65"/>
    </row>
    <row r="422" spans="1:5">
      <c r="A422" s="60"/>
      <c r="B422" s="60"/>
      <c r="C422" s="60"/>
      <c r="D422" s="65"/>
      <c r="E422" s="65"/>
    </row>
    <row r="423" spans="1:5">
      <c r="A423" s="60"/>
      <c r="B423" s="60"/>
      <c r="C423" s="60"/>
      <c r="D423" s="65"/>
      <c r="E423" s="65"/>
    </row>
    <row r="424" spans="1:5">
      <c r="A424" s="60"/>
      <c r="B424" s="60"/>
      <c r="C424" s="60"/>
      <c r="D424" s="65"/>
      <c r="E424" s="65"/>
    </row>
    <row r="425" spans="1:5">
      <c r="A425" s="60"/>
      <c r="B425" s="60"/>
      <c r="C425" s="60"/>
      <c r="D425" s="65"/>
      <c r="E425" s="65"/>
    </row>
    <row r="426" spans="1:5">
      <c r="A426" s="60"/>
      <c r="B426" s="60"/>
      <c r="C426" s="60"/>
      <c r="D426" s="65"/>
      <c r="E426" s="65"/>
    </row>
    <row r="427" spans="1:5">
      <c r="A427" s="60"/>
      <c r="B427" s="60"/>
      <c r="C427" s="60"/>
      <c r="D427" s="65"/>
      <c r="E427" s="65"/>
    </row>
    <row r="428" spans="1:5">
      <c r="A428" s="60"/>
      <c r="B428" s="60"/>
      <c r="C428" s="60"/>
      <c r="D428" s="65"/>
      <c r="E428" s="65"/>
    </row>
    <row r="429" spans="1:5">
      <c r="A429" s="60"/>
      <c r="B429" s="60"/>
      <c r="C429" s="60"/>
      <c r="D429" s="65"/>
      <c r="E429" s="65"/>
    </row>
    <row r="430" spans="1:5">
      <c r="A430" s="60"/>
      <c r="B430" s="60"/>
      <c r="C430" s="60"/>
      <c r="D430" s="65"/>
      <c r="E430" s="65"/>
    </row>
    <row r="431" spans="1:5">
      <c r="A431" s="60"/>
      <c r="B431" s="60"/>
      <c r="C431" s="60"/>
      <c r="D431" s="65"/>
      <c r="E431" s="65"/>
    </row>
    <row r="432" spans="1:5">
      <c r="A432" s="60"/>
      <c r="B432" s="60"/>
      <c r="C432" s="60"/>
      <c r="D432" s="65"/>
      <c r="E432" s="65"/>
    </row>
    <row r="433" spans="1:5">
      <c r="A433" s="60"/>
      <c r="B433" s="60"/>
      <c r="C433" s="60"/>
      <c r="D433" s="65"/>
      <c r="E433" s="65"/>
    </row>
    <row r="434" spans="1:5">
      <c r="A434" s="60"/>
      <c r="B434" s="60"/>
      <c r="C434" s="60"/>
      <c r="D434" s="65"/>
      <c r="E434" s="65"/>
    </row>
    <row r="435" spans="1:5">
      <c r="A435" s="60"/>
      <c r="B435" s="60"/>
      <c r="C435" s="60"/>
      <c r="D435" s="65"/>
      <c r="E435" s="65"/>
    </row>
    <row r="436" spans="1:5">
      <c r="A436" s="60"/>
      <c r="B436" s="60"/>
      <c r="C436" s="60"/>
      <c r="D436" s="65"/>
      <c r="E436" s="65"/>
    </row>
    <row r="437" spans="1:5">
      <c r="A437" s="60"/>
      <c r="B437" s="60"/>
      <c r="C437" s="60"/>
      <c r="D437" s="65"/>
      <c r="E437" s="65"/>
    </row>
    <row r="438" spans="1:5">
      <c r="A438" s="60"/>
      <c r="B438" s="60"/>
      <c r="C438" s="60"/>
      <c r="D438" s="65"/>
      <c r="E438" s="64"/>
    </row>
    <row r="439" spans="1:5">
      <c r="A439" s="60"/>
      <c r="B439" s="60"/>
      <c r="C439" s="60"/>
      <c r="D439" s="65"/>
      <c r="E439" s="65"/>
    </row>
    <row r="440" spans="1:5">
      <c r="A440" s="60"/>
      <c r="B440" s="60"/>
      <c r="C440" s="60"/>
      <c r="D440" s="65"/>
      <c r="E440" s="65"/>
    </row>
    <row r="441" spans="1:5">
      <c r="A441" s="60"/>
      <c r="B441" s="60"/>
      <c r="C441" s="60"/>
      <c r="D441" s="64"/>
      <c r="E441" s="64"/>
    </row>
    <row r="442" spans="1:5">
      <c r="A442" s="60"/>
      <c r="B442" s="60"/>
      <c r="C442" s="60"/>
      <c r="D442" s="65"/>
      <c r="E442" s="65"/>
    </row>
    <row r="443" spans="1:5">
      <c r="A443" s="60"/>
      <c r="B443" s="60"/>
      <c r="C443" s="60"/>
      <c r="D443" s="65"/>
      <c r="E443" s="65"/>
    </row>
    <row r="444" spans="1:5">
      <c r="A444" s="60"/>
      <c r="B444" s="60"/>
      <c r="C444" s="60"/>
      <c r="D444" s="65"/>
      <c r="E444" s="65"/>
    </row>
    <row r="445" spans="1:5">
      <c r="A445" s="60"/>
      <c r="B445" s="60"/>
      <c r="C445" s="60"/>
      <c r="D445" s="65"/>
      <c r="E445" s="65"/>
    </row>
    <row r="446" spans="1:5">
      <c r="A446" s="60"/>
      <c r="B446" s="60"/>
      <c r="C446" s="60"/>
      <c r="D446" s="65"/>
      <c r="E446" s="65"/>
    </row>
    <row r="447" spans="1:5">
      <c r="A447" s="60"/>
      <c r="B447" s="60"/>
      <c r="C447" s="60"/>
      <c r="D447" s="65"/>
      <c r="E447" s="65"/>
    </row>
    <row r="448" spans="1:5">
      <c r="A448" s="60"/>
      <c r="B448" s="60"/>
      <c r="C448" s="60"/>
      <c r="D448" s="65"/>
      <c r="E448" s="65"/>
    </row>
    <row r="449" spans="1:5">
      <c r="A449" s="60"/>
      <c r="B449" s="60"/>
      <c r="C449" s="60"/>
      <c r="D449" s="65"/>
      <c r="E449" s="65"/>
    </row>
    <row r="450" spans="1:5">
      <c r="A450" s="60"/>
      <c r="B450" s="60"/>
      <c r="C450" s="60"/>
      <c r="D450" s="65"/>
      <c r="E450" s="65"/>
    </row>
    <row r="451" spans="1:5">
      <c r="A451" s="60"/>
      <c r="B451" s="60"/>
      <c r="C451" s="60"/>
      <c r="D451" s="65"/>
      <c r="E451" s="65"/>
    </row>
    <row r="452" spans="1:5">
      <c r="A452" s="60"/>
      <c r="B452" s="60"/>
      <c r="C452" s="60"/>
      <c r="D452" s="65"/>
      <c r="E452" s="65"/>
    </row>
    <row r="453" spans="1:5">
      <c r="A453" s="60"/>
      <c r="B453" s="60"/>
      <c r="C453" s="60"/>
      <c r="D453" s="65"/>
      <c r="E453" s="65"/>
    </row>
    <row r="454" spans="1:5">
      <c r="A454" s="60"/>
      <c r="B454" s="60"/>
      <c r="C454" s="60"/>
      <c r="D454" s="65"/>
      <c r="E454" s="65"/>
    </row>
    <row r="455" spans="1:5">
      <c r="A455" s="60"/>
      <c r="B455" s="60"/>
      <c r="C455" s="60"/>
      <c r="D455" s="65"/>
      <c r="E455" s="65"/>
    </row>
    <row r="456" spans="1:5">
      <c r="A456" s="60"/>
      <c r="B456" s="60"/>
      <c r="C456" s="60"/>
      <c r="D456" s="65"/>
      <c r="E456" s="65"/>
    </row>
    <row r="457" spans="1:5">
      <c r="A457" s="60"/>
      <c r="B457" s="60"/>
      <c r="C457" s="60"/>
      <c r="D457" s="65"/>
      <c r="E457" s="65"/>
    </row>
    <row r="458" spans="1:5">
      <c r="A458" s="60"/>
      <c r="B458" s="60"/>
      <c r="C458" s="60"/>
      <c r="D458" s="65"/>
      <c r="E458" s="65"/>
    </row>
    <row r="459" spans="1:5">
      <c r="A459" s="60"/>
      <c r="B459" s="60"/>
      <c r="C459" s="60"/>
      <c r="D459" s="65"/>
      <c r="E459" s="65"/>
    </row>
    <row r="460" spans="1:5">
      <c r="A460" s="60"/>
      <c r="B460" s="60"/>
      <c r="C460" s="60"/>
      <c r="D460" s="65"/>
      <c r="E460" s="65"/>
    </row>
    <row r="461" spans="1:5">
      <c r="A461" s="60"/>
      <c r="B461" s="60"/>
      <c r="C461" s="60"/>
      <c r="D461" s="65"/>
      <c r="E461" s="65"/>
    </row>
    <row r="462" spans="1:5">
      <c r="A462" s="60"/>
      <c r="B462" s="60"/>
      <c r="C462" s="60"/>
      <c r="D462" s="65"/>
      <c r="E462" s="65"/>
    </row>
    <row r="463" spans="1:5">
      <c r="A463" s="60"/>
      <c r="B463" s="60"/>
      <c r="C463" s="60"/>
      <c r="D463" s="65"/>
      <c r="E463" s="65"/>
    </row>
    <row r="464" spans="1:5">
      <c r="A464" s="60"/>
      <c r="B464" s="60"/>
      <c r="C464" s="60"/>
      <c r="D464" s="65"/>
      <c r="E464" s="65"/>
    </row>
    <row r="465" spans="1:5">
      <c r="A465" s="60"/>
      <c r="B465" s="60"/>
      <c r="C465" s="60"/>
      <c r="D465" s="65"/>
      <c r="E465" s="65"/>
    </row>
    <row r="466" spans="1:5">
      <c r="A466" s="60"/>
      <c r="B466" s="60"/>
      <c r="C466" s="60"/>
      <c r="D466" s="65"/>
      <c r="E466" s="65"/>
    </row>
    <row r="467" spans="1:5">
      <c r="A467" s="60"/>
      <c r="B467" s="60"/>
      <c r="C467" s="60"/>
      <c r="D467" s="65"/>
      <c r="E467" s="65"/>
    </row>
    <row r="468" spans="1:5">
      <c r="A468" s="60"/>
      <c r="B468" s="60"/>
      <c r="C468" s="60"/>
      <c r="D468" s="64"/>
      <c r="E468" s="65"/>
    </row>
    <row r="469" spans="1:5">
      <c r="A469" s="60"/>
      <c r="B469" s="60"/>
      <c r="C469" s="60"/>
      <c r="D469" s="65"/>
      <c r="E469" s="65"/>
    </row>
    <row r="470" spans="1:5">
      <c r="A470" s="60"/>
      <c r="B470" s="60"/>
      <c r="C470" s="60"/>
      <c r="D470" s="65"/>
      <c r="E470" s="65"/>
    </row>
    <row r="471" spans="1:5">
      <c r="A471" s="60"/>
      <c r="B471" s="60"/>
      <c r="C471" s="60"/>
      <c r="D471" s="65"/>
      <c r="E471" s="65"/>
    </row>
    <row r="472" spans="1:5">
      <c r="A472" s="60"/>
      <c r="B472" s="60"/>
      <c r="C472" s="60"/>
      <c r="D472" s="65"/>
      <c r="E472" s="65"/>
    </row>
    <row r="473" spans="1:5">
      <c r="A473" s="60"/>
      <c r="B473" s="60"/>
      <c r="C473" s="60"/>
      <c r="D473" s="65"/>
      <c r="E473" s="65"/>
    </row>
    <row r="474" spans="1:5">
      <c r="A474" s="60"/>
      <c r="B474" s="60"/>
      <c r="C474" s="60"/>
      <c r="D474" s="65"/>
      <c r="E474" s="65"/>
    </row>
    <row r="475" spans="1:5">
      <c r="A475" s="60"/>
      <c r="B475" s="60"/>
      <c r="C475" s="60"/>
      <c r="D475" s="65"/>
      <c r="E475" s="65"/>
    </row>
    <row r="476" spans="1:5">
      <c r="A476" s="60"/>
      <c r="B476" s="60"/>
      <c r="C476" s="60"/>
      <c r="D476" s="65"/>
      <c r="E476" s="65"/>
    </row>
    <row r="477" spans="1:5">
      <c r="A477" s="60"/>
      <c r="B477" s="60"/>
      <c r="C477" s="60"/>
      <c r="D477" s="65"/>
      <c r="E477" s="65"/>
    </row>
    <row r="478" spans="1:5">
      <c r="A478" s="60"/>
      <c r="B478" s="60"/>
      <c r="C478" s="60"/>
      <c r="D478" s="65"/>
      <c r="E478" s="65"/>
    </row>
    <row r="479" spans="1:5">
      <c r="A479" s="60"/>
      <c r="B479" s="60"/>
      <c r="C479" s="60"/>
      <c r="D479" s="65"/>
      <c r="E479" s="65"/>
    </row>
    <row r="480" spans="1:5">
      <c r="A480" s="60"/>
      <c r="B480" s="60"/>
      <c r="C480" s="60"/>
      <c r="D480" s="65"/>
      <c r="E480" s="65"/>
    </row>
    <row r="481" spans="1:5">
      <c r="A481" s="60"/>
      <c r="B481" s="60"/>
      <c r="C481" s="60"/>
      <c r="D481" s="65"/>
      <c r="E481" s="65"/>
    </row>
    <row r="482" spans="1:5">
      <c r="A482" s="60"/>
      <c r="B482" s="60"/>
      <c r="C482" s="60"/>
      <c r="D482" s="65"/>
      <c r="E482" s="65"/>
    </row>
    <row r="483" spans="1:5">
      <c r="A483" s="60"/>
      <c r="B483" s="60"/>
      <c r="C483" s="60"/>
      <c r="D483" s="65"/>
      <c r="E483" s="65"/>
    </row>
    <row r="484" spans="1:5">
      <c r="A484" s="60"/>
      <c r="B484" s="60"/>
      <c r="C484" s="60"/>
      <c r="D484" s="65"/>
      <c r="E484" s="65"/>
    </row>
    <row r="485" spans="1:5">
      <c r="A485" s="60"/>
      <c r="B485" s="60"/>
      <c r="C485" s="60"/>
      <c r="D485" s="65"/>
      <c r="E485" s="65"/>
    </row>
    <row r="486" spans="1:5">
      <c r="A486" s="60"/>
      <c r="B486" s="60"/>
      <c r="C486" s="60"/>
      <c r="D486" s="65"/>
      <c r="E486" s="65"/>
    </row>
    <row r="487" spans="1:5">
      <c r="A487" s="60"/>
      <c r="B487" s="60"/>
      <c r="C487" s="60"/>
      <c r="D487" s="65"/>
      <c r="E487" s="65"/>
    </row>
    <row r="488" spans="1:5">
      <c r="A488" s="60"/>
      <c r="B488" s="60"/>
      <c r="C488" s="60"/>
      <c r="D488" s="65"/>
      <c r="E488" s="65"/>
    </row>
    <row r="489" spans="1:5">
      <c r="A489" s="60"/>
      <c r="B489" s="60"/>
      <c r="C489" s="60"/>
      <c r="D489" s="65"/>
      <c r="E489" s="65"/>
    </row>
    <row r="490" spans="1:5">
      <c r="A490" s="60"/>
      <c r="B490" s="60"/>
      <c r="C490" s="60"/>
      <c r="D490" s="65"/>
      <c r="E490" s="65"/>
    </row>
    <row r="491" spans="1:5">
      <c r="A491" s="60"/>
      <c r="B491" s="60"/>
      <c r="C491" s="60"/>
      <c r="D491" s="65"/>
      <c r="E491" s="65"/>
    </row>
    <row r="492" spans="1:5">
      <c r="A492" s="60"/>
      <c r="B492" s="60"/>
      <c r="C492" s="60"/>
      <c r="D492" s="65"/>
      <c r="E492" s="65"/>
    </row>
    <row r="493" spans="1:5">
      <c r="A493" s="60"/>
      <c r="B493" s="60"/>
      <c r="C493" s="60"/>
      <c r="D493" s="65"/>
      <c r="E493" s="65"/>
    </row>
    <row r="494" spans="1:5">
      <c r="A494" s="60"/>
      <c r="B494" s="60"/>
      <c r="C494" s="60"/>
      <c r="D494" s="65"/>
      <c r="E494" s="65"/>
    </row>
    <row r="495" spans="1:5">
      <c r="A495" s="60"/>
      <c r="B495" s="60"/>
      <c r="C495" s="60"/>
      <c r="D495" s="64"/>
      <c r="E495" s="64"/>
    </row>
    <row r="496" spans="1:5">
      <c r="A496" s="60"/>
      <c r="B496" s="60"/>
      <c r="C496" s="60"/>
      <c r="D496" s="65"/>
      <c r="E496" s="65"/>
    </row>
    <row r="497" spans="1:5">
      <c r="A497" s="60"/>
      <c r="B497" s="60"/>
      <c r="C497" s="60"/>
      <c r="D497" s="65"/>
      <c r="E497" s="65"/>
    </row>
    <row r="498" spans="1:5">
      <c r="A498" s="60"/>
      <c r="B498" s="60"/>
      <c r="C498" s="60"/>
      <c r="D498" s="65"/>
      <c r="E498" s="65"/>
    </row>
    <row r="499" spans="1:5">
      <c r="A499" s="60"/>
      <c r="B499" s="60"/>
      <c r="C499" s="60"/>
      <c r="D499" s="65"/>
      <c r="E499" s="65"/>
    </row>
    <row r="500" spans="1:5">
      <c r="A500" s="60"/>
      <c r="B500" s="60"/>
      <c r="C500" s="60"/>
      <c r="D500" s="65"/>
      <c r="E500" s="65"/>
    </row>
    <row r="501" spans="1:5">
      <c r="A501" s="60"/>
      <c r="B501" s="60"/>
      <c r="C501" s="60"/>
      <c r="D501" s="65"/>
      <c r="E501" s="65"/>
    </row>
    <row r="502" spans="1:5">
      <c r="A502" s="60"/>
      <c r="B502" s="60"/>
      <c r="C502" s="60"/>
      <c r="D502" s="65"/>
      <c r="E502" s="65"/>
    </row>
    <row r="503" spans="1:5">
      <c r="A503" s="60"/>
      <c r="B503" s="60"/>
      <c r="C503" s="60"/>
      <c r="D503" s="65"/>
      <c r="E503" s="65"/>
    </row>
    <row r="504" spans="1:5">
      <c r="A504" s="60"/>
      <c r="B504" s="60"/>
      <c r="C504" s="60"/>
      <c r="D504" s="65"/>
      <c r="E504" s="65"/>
    </row>
    <row r="505" spans="1:5">
      <c r="A505" s="60"/>
      <c r="B505" s="60"/>
      <c r="C505" s="60"/>
      <c r="D505" s="65"/>
      <c r="E505" s="65"/>
    </row>
    <row r="506" spans="1:5">
      <c r="A506" s="60"/>
      <c r="B506" s="60"/>
      <c r="C506" s="60"/>
      <c r="D506" s="65"/>
      <c r="E506" s="66"/>
    </row>
    <row r="507" spans="1:5">
      <c r="A507" s="60"/>
      <c r="B507" s="60"/>
      <c r="C507" s="60"/>
      <c r="D507" s="65"/>
      <c r="E507" s="65"/>
    </row>
    <row r="508" spans="1:5">
      <c r="A508" s="60"/>
      <c r="B508" s="60"/>
      <c r="C508" s="60"/>
      <c r="D508" s="65"/>
      <c r="E508" s="65"/>
    </row>
    <row r="509" spans="1:5">
      <c r="A509" s="60"/>
      <c r="B509" s="60"/>
      <c r="C509" s="60"/>
      <c r="D509" s="65"/>
      <c r="E509" s="65"/>
    </row>
    <row r="510" spans="1:5">
      <c r="A510" s="60"/>
      <c r="B510" s="60"/>
      <c r="C510" s="60"/>
      <c r="D510" s="65"/>
      <c r="E510" s="65"/>
    </row>
    <row r="511" spans="1:5">
      <c r="A511" s="60"/>
      <c r="B511" s="60"/>
      <c r="C511" s="60"/>
      <c r="D511" s="65"/>
      <c r="E511" s="65"/>
    </row>
    <row r="512" spans="1:5">
      <c r="A512" s="60"/>
      <c r="B512" s="60"/>
      <c r="C512" s="60"/>
      <c r="D512" s="65"/>
      <c r="E512" s="65"/>
    </row>
    <row r="513" spans="1:5">
      <c r="A513" s="60"/>
      <c r="B513" s="60"/>
      <c r="C513" s="60"/>
      <c r="D513" s="65"/>
      <c r="E513" s="65"/>
    </row>
    <row r="514" spans="1:5">
      <c r="A514" s="60"/>
      <c r="B514" s="60"/>
      <c r="C514" s="60"/>
      <c r="D514" s="65"/>
      <c r="E514" s="65"/>
    </row>
    <row r="515" spans="1:5">
      <c r="A515" s="60"/>
      <c r="B515" s="60"/>
      <c r="C515" s="60"/>
      <c r="D515" s="65"/>
      <c r="E515" s="65"/>
    </row>
    <row r="516" spans="1:5">
      <c r="A516" s="60"/>
      <c r="B516" s="60"/>
      <c r="C516" s="60"/>
      <c r="D516" s="65"/>
      <c r="E516" s="65"/>
    </row>
    <row r="517" spans="1:5">
      <c r="A517" s="60"/>
      <c r="B517" s="60"/>
      <c r="C517" s="60"/>
      <c r="D517" s="65"/>
      <c r="E517" s="65"/>
    </row>
    <row r="518" spans="1:5">
      <c r="A518" s="60"/>
      <c r="B518" s="60"/>
      <c r="C518" s="60"/>
      <c r="D518" s="65"/>
      <c r="E518" s="66"/>
    </row>
    <row r="519" spans="1:5">
      <c r="A519" s="60"/>
      <c r="B519" s="60"/>
      <c r="C519" s="60"/>
      <c r="D519" s="65"/>
      <c r="E519" s="65"/>
    </row>
    <row r="520" spans="1:5">
      <c r="A520" s="60"/>
      <c r="B520" s="60"/>
      <c r="C520" s="60"/>
      <c r="D520" s="65"/>
      <c r="E520" s="65"/>
    </row>
    <row r="521" spans="1:5">
      <c r="A521" s="60"/>
      <c r="B521" s="60"/>
      <c r="C521" s="60"/>
      <c r="D521" s="65"/>
      <c r="E521" s="65"/>
    </row>
    <row r="522" spans="1:5">
      <c r="A522" s="60"/>
      <c r="B522" s="60"/>
      <c r="C522" s="60"/>
      <c r="D522" s="64"/>
      <c r="E522" s="65"/>
    </row>
    <row r="523" spans="1:5">
      <c r="A523" s="60"/>
      <c r="B523" s="60"/>
      <c r="C523" s="60"/>
      <c r="D523" s="65"/>
      <c r="E523" s="65"/>
    </row>
    <row r="524" spans="1:5">
      <c r="A524" s="60"/>
      <c r="B524" s="60"/>
      <c r="C524" s="60"/>
      <c r="D524" s="65"/>
      <c r="E524" s="65"/>
    </row>
    <row r="525" spans="1:5">
      <c r="A525" s="60"/>
      <c r="B525" s="60"/>
      <c r="C525" s="60"/>
      <c r="D525" s="65"/>
      <c r="E525" s="65"/>
    </row>
    <row r="526" spans="1:5">
      <c r="A526" s="60"/>
      <c r="B526" s="60"/>
      <c r="C526" s="60"/>
      <c r="D526" s="65"/>
      <c r="E526" s="65"/>
    </row>
    <row r="527" spans="1:5">
      <c r="A527" s="60"/>
      <c r="B527" s="60"/>
      <c r="C527" s="60"/>
      <c r="D527" s="65"/>
      <c r="E527" s="65"/>
    </row>
    <row r="528" spans="1:5">
      <c r="A528" s="60"/>
      <c r="B528" s="60"/>
      <c r="C528" s="60"/>
      <c r="D528" s="65"/>
      <c r="E528" s="65"/>
    </row>
    <row r="529" spans="1:5">
      <c r="A529" s="60"/>
      <c r="B529" s="60"/>
      <c r="C529" s="60"/>
      <c r="D529" s="65"/>
      <c r="E529" s="65"/>
    </row>
    <row r="530" spans="1:5">
      <c r="A530" s="60"/>
      <c r="B530" s="60"/>
      <c r="C530" s="60"/>
      <c r="D530" s="65"/>
      <c r="E530" s="65"/>
    </row>
    <row r="531" spans="1:5">
      <c r="A531" s="60"/>
      <c r="B531" s="60"/>
      <c r="C531" s="60"/>
      <c r="D531" s="65"/>
      <c r="E531" s="65"/>
    </row>
    <row r="532" spans="1:5">
      <c r="A532" s="60"/>
      <c r="B532" s="60"/>
      <c r="C532" s="60"/>
      <c r="D532" s="65"/>
      <c r="E532" s="65"/>
    </row>
    <row r="533" spans="1:5">
      <c r="A533" s="60"/>
      <c r="B533" s="60"/>
      <c r="C533" s="60"/>
      <c r="D533" s="65"/>
      <c r="E533" s="65"/>
    </row>
    <row r="534" spans="1:5">
      <c r="A534" s="60"/>
      <c r="B534" s="60"/>
      <c r="C534" s="60"/>
      <c r="D534" s="65"/>
      <c r="E534" s="65"/>
    </row>
    <row r="535" spans="1:5">
      <c r="A535" s="60"/>
      <c r="B535" s="60"/>
      <c r="C535" s="60"/>
      <c r="D535" s="65"/>
      <c r="E535" s="65"/>
    </row>
    <row r="536" spans="1:5">
      <c r="A536" s="60"/>
      <c r="B536" s="60"/>
      <c r="C536" s="60"/>
      <c r="D536" s="65"/>
      <c r="E536" s="65"/>
    </row>
    <row r="537" spans="1:5">
      <c r="A537" s="60"/>
      <c r="B537" s="60"/>
      <c r="C537" s="60"/>
      <c r="D537" s="65"/>
      <c r="E537" s="65"/>
    </row>
    <row r="538" spans="1:5">
      <c r="A538" s="60"/>
      <c r="B538" s="60"/>
      <c r="C538" s="60"/>
      <c r="D538" s="65"/>
      <c r="E538" s="65"/>
    </row>
    <row r="539" spans="1:5">
      <c r="A539" s="60"/>
      <c r="B539" s="60"/>
      <c r="C539" s="60"/>
      <c r="D539" s="65"/>
      <c r="E539" s="65"/>
    </row>
    <row r="540" spans="1:5">
      <c r="A540" s="60"/>
      <c r="B540" s="60"/>
      <c r="C540" s="60"/>
      <c r="D540" s="65"/>
      <c r="E540" s="65"/>
    </row>
    <row r="541" spans="1:5">
      <c r="A541" s="60"/>
      <c r="B541" s="60"/>
      <c r="C541" s="60"/>
      <c r="D541" s="65"/>
      <c r="E541" s="65"/>
    </row>
    <row r="542" spans="1:5">
      <c r="A542" s="60"/>
      <c r="B542" s="60"/>
      <c r="C542" s="60"/>
      <c r="D542" s="65"/>
      <c r="E542" s="65"/>
    </row>
    <row r="543" spans="1:5">
      <c r="A543" s="60"/>
      <c r="B543" s="60"/>
      <c r="C543" s="60"/>
      <c r="D543" s="65"/>
      <c r="E543" s="65"/>
    </row>
    <row r="544" spans="1:5">
      <c r="A544" s="60"/>
      <c r="B544" s="60"/>
      <c r="C544" s="60"/>
      <c r="D544" s="65"/>
      <c r="E544" s="65"/>
    </row>
    <row r="545" spans="1:5">
      <c r="A545" s="60"/>
      <c r="B545" s="60"/>
      <c r="C545" s="60"/>
      <c r="D545" s="65"/>
      <c r="E545" s="65"/>
    </row>
    <row r="546" spans="1:5">
      <c r="A546" s="60"/>
      <c r="B546" s="60"/>
      <c r="C546" s="60"/>
      <c r="D546" s="65"/>
      <c r="E546" s="65"/>
    </row>
    <row r="547" spans="1:5">
      <c r="A547" s="60"/>
      <c r="B547" s="60"/>
      <c r="C547" s="60"/>
      <c r="D547" s="65"/>
      <c r="E547" s="65"/>
    </row>
    <row r="548" spans="1:5">
      <c r="A548" s="60"/>
      <c r="B548" s="60"/>
      <c r="C548" s="60"/>
      <c r="D548" s="65"/>
      <c r="E548" s="65"/>
    </row>
    <row r="549" spans="1:5">
      <c r="A549" s="60"/>
      <c r="B549" s="60"/>
      <c r="C549" s="60"/>
      <c r="D549" s="64"/>
      <c r="E549" s="65"/>
    </row>
    <row r="550" spans="1:5">
      <c r="A550" s="60"/>
      <c r="B550" s="60"/>
      <c r="C550" s="60"/>
      <c r="D550" s="65"/>
      <c r="E550" s="65"/>
    </row>
    <row r="551" spans="1:5">
      <c r="A551" s="60"/>
      <c r="B551" s="60"/>
      <c r="C551" s="60"/>
      <c r="D551" s="65"/>
      <c r="E551" s="65"/>
    </row>
    <row r="552" spans="1:5">
      <c r="A552" s="60"/>
      <c r="B552" s="60"/>
      <c r="C552" s="60"/>
      <c r="D552" s="65"/>
      <c r="E552" s="65"/>
    </row>
    <row r="553" spans="1:5">
      <c r="A553" s="60"/>
      <c r="B553" s="60"/>
      <c r="C553" s="60"/>
      <c r="D553" s="65"/>
      <c r="E553" s="65"/>
    </row>
    <row r="554" spans="1:5">
      <c r="A554" s="60"/>
      <c r="B554" s="60"/>
      <c r="C554" s="60"/>
      <c r="D554" s="65"/>
      <c r="E554" s="65"/>
    </row>
    <row r="555" spans="1:5">
      <c r="A555" s="60"/>
      <c r="B555" s="60"/>
      <c r="C555" s="60"/>
      <c r="D555" s="65"/>
      <c r="E555" s="65"/>
    </row>
    <row r="556" spans="1:5">
      <c r="A556" s="60"/>
      <c r="B556" s="60"/>
      <c r="C556" s="60"/>
      <c r="D556" s="65"/>
      <c r="E556" s="65"/>
    </row>
    <row r="557" spans="1:5">
      <c r="A557" s="60"/>
      <c r="B557" s="60"/>
      <c r="C557" s="60"/>
      <c r="D557" s="65"/>
      <c r="E557" s="65"/>
    </row>
    <row r="558" spans="1:5">
      <c r="A558" s="60"/>
      <c r="B558" s="60"/>
      <c r="C558" s="60"/>
      <c r="D558" s="65"/>
      <c r="E558" s="65"/>
    </row>
    <row r="559" spans="1:5">
      <c r="A559" s="60"/>
      <c r="B559" s="60"/>
      <c r="C559" s="60"/>
      <c r="D559" s="65"/>
      <c r="E559" s="65"/>
    </row>
    <row r="560" spans="1:5">
      <c r="A560" s="60"/>
      <c r="B560" s="60"/>
      <c r="C560" s="60"/>
      <c r="D560" s="65"/>
      <c r="E560" s="65"/>
    </row>
    <row r="561" spans="1:5">
      <c r="A561" s="60"/>
      <c r="B561" s="60"/>
      <c r="C561" s="60"/>
      <c r="D561" s="65"/>
      <c r="E561" s="65"/>
    </row>
    <row r="562" spans="1:5">
      <c r="A562" s="60"/>
      <c r="B562" s="60"/>
      <c r="C562" s="60"/>
      <c r="D562" s="65"/>
      <c r="E562" s="65"/>
    </row>
    <row r="563" spans="1:5">
      <c r="A563" s="60"/>
      <c r="B563" s="60"/>
      <c r="C563" s="60"/>
      <c r="D563" s="65"/>
      <c r="E563" s="65"/>
    </row>
    <row r="564" spans="1:5">
      <c r="A564" s="60"/>
      <c r="B564" s="60"/>
      <c r="C564" s="60"/>
      <c r="D564" s="65"/>
      <c r="E564" s="65"/>
    </row>
    <row r="565" spans="1:5">
      <c r="A565" s="60"/>
      <c r="B565" s="60"/>
      <c r="C565" s="60"/>
      <c r="D565" s="65"/>
      <c r="E565" s="65"/>
    </row>
    <row r="566" spans="1:5">
      <c r="A566" s="60"/>
      <c r="B566" s="60"/>
      <c r="C566" s="60"/>
      <c r="D566" s="65"/>
      <c r="E566" s="65"/>
    </row>
    <row r="567" spans="1:5">
      <c r="A567" s="60"/>
      <c r="B567" s="60"/>
      <c r="C567" s="60"/>
      <c r="D567" s="65"/>
      <c r="E567" s="65"/>
    </row>
    <row r="568" spans="1:5">
      <c r="A568" s="60"/>
      <c r="B568" s="60"/>
      <c r="C568" s="60"/>
      <c r="D568" s="65"/>
      <c r="E568" s="65"/>
    </row>
    <row r="569" spans="1:5">
      <c r="A569" s="60"/>
      <c r="B569" s="60"/>
      <c r="C569" s="60"/>
      <c r="D569" s="65"/>
      <c r="E569" s="65"/>
    </row>
    <row r="570" spans="1:5">
      <c r="A570" s="60"/>
      <c r="B570" s="60"/>
      <c r="C570" s="60"/>
      <c r="D570" s="65"/>
      <c r="E570" s="65"/>
    </row>
    <row r="571" spans="1:5">
      <c r="A571" s="60"/>
      <c r="B571" s="60"/>
      <c r="C571" s="60"/>
      <c r="D571" s="65"/>
      <c r="E571" s="65"/>
    </row>
    <row r="572" spans="1:5">
      <c r="A572" s="60"/>
      <c r="B572" s="60"/>
      <c r="C572" s="60"/>
      <c r="D572" s="65"/>
      <c r="E572" s="65"/>
    </row>
    <row r="573" spans="1:5">
      <c r="A573" s="60"/>
      <c r="B573" s="60"/>
      <c r="C573" s="60"/>
      <c r="D573" s="65"/>
      <c r="E573" s="65"/>
    </row>
    <row r="574" spans="1:5">
      <c r="A574" s="60"/>
      <c r="B574" s="60"/>
      <c r="C574" s="60"/>
      <c r="D574" s="65"/>
      <c r="E574" s="65"/>
    </row>
    <row r="575" spans="1:5">
      <c r="A575" s="60"/>
      <c r="B575" s="60"/>
      <c r="C575" s="60"/>
      <c r="D575" s="65"/>
      <c r="E575" s="65"/>
    </row>
    <row r="576" spans="1:5">
      <c r="A576" s="60"/>
      <c r="B576" s="60"/>
      <c r="C576" s="60"/>
      <c r="D576" s="64"/>
      <c r="E576" s="65"/>
    </row>
    <row r="577" spans="1:5">
      <c r="A577" s="60"/>
      <c r="B577" s="60"/>
      <c r="C577" s="60"/>
      <c r="D577" s="65"/>
      <c r="E577" s="65"/>
    </row>
    <row r="578" spans="1:5">
      <c r="A578" s="60"/>
      <c r="B578" s="60"/>
      <c r="C578" s="60"/>
      <c r="D578" s="65"/>
      <c r="E578" s="65"/>
    </row>
    <row r="579" spans="1:5">
      <c r="A579" s="60"/>
      <c r="B579" s="60"/>
      <c r="C579" s="60"/>
      <c r="D579" s="65"/>
      <c r="E579" s="65"/>
    </row>
    <row r="580" spans="1:5">
      <c r="A580" s="60"/>
      <c r="B580" s="60"/>
      <c r="C580" s="60"/>
      <c r="D580" s="65"/>
      <c r="E580" s="65"/>
    </row>
    <row r="581" spans="1:5">
      <c r="A581" s="60"/>
      <c r="B581" s="60"/>
      <c r="C581" s="60"/>
      <c r="D581" s="65"/>
      <c r="E581" s="65"/>
    </row>
    <row r="582" spans="1:5">
      <c r="A582" s="60"/>
      <c r="B582" s="60"/>
      <c r="C582" s="60"/>
      <c r="D582" s="65"/>
      <c r="E582" s="65"/>
    </row>
    <row r="583" spans="1:5">
      <c r="A583" s="60"/>
      <c r="B583" s="60"/>
      <c r="C583" s="60"/>
      <c r="D583" s="65"/>
      <c r="E583" s="65"/>
    </row>
    <row r="584" spans="1:5">
      <c r="A584" s="60"/>
      <c r="B584" s="60"/>
      <c r="C584" s="60"/>
      <c r="D584" s="65"/>
      <c r="E584" s="65"/>
    </row>
    <row r="585" spans="1:5">
      <c r="A585" s="60"/>
      <c r="B585" s="60"/>
      <c r="C585" s="60"/>
      <c r="D585" s="65"/>
      <c r="E585" s="65"/>
    </row>
    <row r="586" spans="1:5">
      <c r="A586" s="60"/>
      <c r="B586" s="60"/>
      <c r="C586" s="60"/>
      <c r="D586" s="65"/>
      <c r="E586" s="65"/>
    </row>
    <row r="587" spans="1:5">
      <c r="A587" s="60"/>
      <c r="B587" s="60"/>
      <c r="C587" s="60"/>
      <c r="D587" s="65"/>
      <c r="E587" s="65"/>
    </row>
    <row r="588" spans="1:5">
      <c r="A588" s="60"/>
      <c r="B588" s="60"/>
      <c r="C588" s="60"/>
      <c r="D588" s="65"/>
      <c r="E588" s="65"/>
    </row>
    <row r="589" spans="1:5">
      <c r="A589" s="60"/>
      <c r="B589" s="60"/>
      <c r="C589" s="60"/>
      <c r="D589" s="65"/>
      <c r="E589" s="65"/>
    </row>
    <row r="590" spans="1:5">
      <c r="A590" s="60"/>
      <c r="B590" s="60"/>
      <c r="C590" s="60"/>
      <c r="D590" s="65"/>
      <c r="E590" s="65"/>
    </row>
    <row r="591" spans="1:5">
      <c r="A591" s="60"/>
      <c r="B591" s="60"/>
      <c r="C591" s="60"/>
      <c r="D591" s="65"/>
      <c r="E591" s="65"/>
    </row>
    <row r="592" spans="1:5">
      <c r="A592" s="60"/>
      <c r="B592" s="60"/>
      <c r="C592" s="60"/>
      <c r="D592" s="65"/>
      <c r="E592" s="65"/>
    </row>
    <row r="593" spans="1:5">
      <c r="A593" s="60"/>
      <c r="B593" s="60"/>
      <c r="C593" s="60"/>
      <c r="D593" s="65"/>
      <c r="E593" s="65"/>
    </row>
    <row r="594" spans="1:5">
      <c r="A594" s="60"/>
      <c r="B594" s="60"/>
      <c r="C594" s="60"/>
      <c r="D594" s="65"/>
      <c r="E594" s="65"/>
    </row>
    <row r="595" spans="1:5">
      <c r="A595" s="60"/>
      <c r="B595" s="60"/>
      <c r="C595" s="60"/>
      <c r="D595" s="65"/>
      <c r="E595" s="65"/>
    </row>
    <row r="596" spans="1:5">
      <c r="A596" s="60"/>
      <c r="B596" s="60"/>
      <c r="C596" s="60"/>
      <c r="D596" s="65"/>
      <c r="E596" s="65"/>
    </row>
    <row r="597" spans="1:5">
      <c r="A597" s="60"/>
      <c r="B597" s="60"/>
      <c r="C597" s="60"/>
      <c r="D597" s="65"/>
      <c r="E597" s="65"/>
    </row>
    <row r="598" spans="1:5">
      <c r="A598" s="60"/>
      <c r="B598" s="60"/>
      <c r="C598" s="60"/>
      <c r="D598" s="65"/>
      <c r="E598" s="65"/>
    </row>
    <row r="599" spans="1:5">
      <c r="A599" s="60"/>
      <c r="B599" s="60"/>
      <c r="C599" s="60"/>
      <c r="D599" s="65"/>
      <c r="E599" s="65"/>
    </row>
    <row r="600" spans="1:5">
      <c r="A600" s="60"/>
      <c r="B600" s="60"/>
      <c r="C600" s="60"/>
      <c r="D600" s="65"/>
      <c r="E600" s="65"/>
    </row>
    <row r="601" spans="1:5">
      <c r="A601" s="60"/>
      <c r="B601" s="60"/>
      <c r="C601" s="60"/>
      <c r="D601" s="65"/>
      <c r="E601" s="65"/>
    </row>
    <row r="602" spans="1:5">
      <c r="A602" s="60"/>
      <c r="B602" s="60"/>
      <c r="C602" s="60"/>
      <c r="D602" s="65"/>
      <c r="E602" s="65"/>
    </row>
    <row r="603" spans="1:5">
      <c r="A603" s="60"/>
      <c r="B603" s="60"/>
      <c r="C603" s="60"/>
      <c r="D603" s="64"/>
      <c r="E603" s="65"/>
    </row>
    <row r="604" spans="1:5">
      <c r="A604" s="60"/>
      <c r="B604" s="60"/>
      <c r="C604" s="60"/>
      <c r="D604" s="65"/>
      <c r="E604" s="65"/>
    </row>
    <row r="605" spans="1:5">
      <c r="A605" s="60"/>
      <c r="B605" s="60"/>
      <c r="C605" s="60"/>
      <c r="D605" s="65"/>
      <c r="E605" s="65"/>
    </row>
    <row r="606" spans="1:5">
      <c r="A606" s="60"/>
      <c r="B606" s="60"/>
      <c r="C606" s="60"/>
      <c r="D606" s="65"/>
      <c r="E606" s="65"/>
    </row>
    <row r="607" spans="1:5">
      <c r="A607" s="60"/>
      <c r="B607" s="60"/>
      <c r="C607" s="60"/>
      <c r="D607" s="65"/>
      <c r="E607" s="65"/>
    </row>
    <row r="608" spans="1:5">
      <c r="A608" s="60"/>
      <c r="B608" s="60"/>
      <c r="C608" s="60"/>
      <c r="D608" s="65"/>
      <c r="E608" s="65"/>
    </row>
    <row r="609" spans="1:5">
      <c r="A609" s="60"/>
      <c r="B609" s="60"/>
      <c r="C609" s="60"/>
      <c r="D609" s="65"/>
      <c r="E609" s="65"/>
    </row>
    <row r="610" spans="1:5">
      <c r="A610" s="60"/>
      <c r="B610" s="60"/>
      <c r="C610" s="60"/>
      <c r="D610" s="65"/>
      <c r="E610" s="65"/>
    </row>
    <row r="611" spans="1:5">
      <c r="A611" s="60"/>
      <c r="B611" s="60"/>
      <c r="C611" s="60"/>
      <c r="D611" s="65"/>
      <c r="E611" s="65"/>
    </row>
    <row r="612" spans="1:5">
      <c r="A612" s="60"/>
      <c r="B612" s="60"/>
      <c r="C612" s="60"/>
      <c r="D612" s="65"/>
      <c r="E612" s="65"/>
    </row>
    <row r="613" spans="1:5">
      <c r="A613" s="60"/>
      <c r="B613" s="60"/>
      <c r="C613" s="60"/>
      <c r="D613" s="65"/>
      <c r="E613" s="65"/>
    </row>
    <row r="614" spans="1:5">
      <c r="A614" s="60"/>
      <c r="B614" s="60"/>
      <c r="C614" s="60"/>
      <c r="D614" s="65"/>
      <c r="E614" s="65"/>
    </row>
    <row r="615" spans="1:5">
      <c r="A615" s="60"/>
      <c r="B615" s="60"/>
      <c r="C615" s="60"/>
      <c r="D615" s="65"/>
      <c r="E615" s="65"/>
    </row>
    <row r="616" spans="1:5">
      <c r="A616" s="60"/>
      <c r="B616" s="60"/>
      <c r="C616" s="60"/>
      <c r="D616" s="65"/>
      <c r="E616" s="65"/>
    </row>
    <row r="617" spans="1:5">
      <c r="A617" s="60"/>
      <c r="B617" s="60"/>
      <c r="C617" s="60"/>
      <c r="D617" s="65"/>
      <c r="E617" s="65"/>
    </row>
    <row r="618" spans="1:5">
      <c r="A618" s="60"/>
      <c r="B618" s="60"/>
      <c r="C618" s="60"/>
      <c r="D618" s="65"/>
      <c r="E618" s="65"/>
    </row>
    <row r="619" spans="1:5">
      <c r="A619" s="60"/>
      <c r="B619" s="60"/>
      <c r="C619" s="60"/>
      <c r="D619" s="65"/>
      <c r="E619" s="65"/>
    </row>
    <row r="620" spans="1:5">
      <c r="A620" s="60"/>
      <c r="B620" s="60"/>
      <c r="C620" s="60"/>
      <c r="D620" s="65"/>
      <c r="E620" s="65"/>
    </row>
    <row r="621" spans="1:5">
      <c r="A621" s="60"/>
      <c r="B621" s="60"/>
      <c r="C621" s="60"/>
      <c r="D621" s="65"/>
      <c r="E621" s="65"/>
    </row>
    <row r="622" spans="1:5">
      <c r="A622" s="60"/>
      <c r="B622" s="60"/>
      <c r="C622" s="60"/>
      <c r="D622" s="65"/>
      <c r="E622" s="65"/>
    </row>
    <row r="623" spans="1:5">
      <c r="A623" s="60"/>
      <c r="B623" s="60"/>
      <c r="C623" s="60"/>
      <c r="D623" s="65"/>
      <c r="E623" s="65"/>
    </row>
    <row r="624" spans="1:5">
      <c r="A624" s="60"/>
      <c r="B624" s="60"/>
      <c r="C624" s="60"/>
      <c r="D624" s="65"/>
      <c r="E624" s="65"/>
    </row>
    <row r="625" spans="1:5">
      <c r="A625" s="60"/>
      <c r="B625" s="60"/>
      <c r="C625" s="60"/>
      <c r="D625" s="65"/>
      <c r="E625" s="65"/>
    </row>
    <row r="626" spans="1:5">
      <c r="A626" s="60"/>
      <c r="B626" s="60"/>
      <c r="C626" s="60"/>
      <c r="D626" s="65"/>
      <c r="E626" s="65"/>
    </row>
    <row r="627" spans="1:5">
      <c r="A627" s="60"/>
      <c r="B627" s="60"/>
      <c r="C627" s="60"/>
      <c r="D627" s="65"/>
      <c r="E627" s="65"/>
    </row>
    <row r="628" spans="1:5">
      <c r="A628" s="60"/>
      <c r="B628" s="60"/>
      <c r="C628" s="60"/>
      <c r="D628" s="65"/>
      <c r="E628" s="65"/>
    </row>
    <row r="629" spans="1:5">
      <c r="A629" s="60"/>
      <c r="B629" s="60"/>
      <c r="C629" s="60"/>
      <c r="D629" s="65"/>
      <c r="E629" s="65"/>
    </row>
    <row r="630" spans="1:5">
      <c r="A630" s="60"/>
      <c r="B630" s="60"/>
      <c r="C630" s="60"/>
      <c r="D630" s="64"/>
      <c r="E630" s="65"/>
    </row>
    <row r="631" spans="1:5">
      <c r="A631" s="60"/>
      <c r="B631" s="60"/>
      <c r="C631" s="60"/>
      <c r="D631" s="65"/>
      <c r="E631" s="65"/>
    </row>
    <row r="632" spans="1:5">
      <c r="A632" s="60"/>
      <c r="B632" s="60"/>
      <c r="C632" s="60"/>
      <c r="D632" s="65"/>
      <c r="E632" s="65"/>
    </row>
    <row r="633" spans="1:5">
      <c r="A633" s="60"/>
      <c r="B633" s="60"/>
      <c r="C633" s="60"/>
      <c r="D633" s="65"/>
      <c r="E633" s="65"/>
    </row>
    <row r="634" spans="1:5">
      <c r="A634" s="60"/>
      <c r="B634" s="60"/>
      <c r="C634" s="60"/>
      <c r="D634" s="65"/>
      <c r="E634" s="65"/>
    </row>
    <row r="635" spans="1:5">
      <c r="A635" s="60"/>
      <c r="B635" s="60"/>
      <c r="C635" s="60"/>
      <c r="D635" s="65"/>
      <c r="E635" s="65"/>
    </row>
    <row r="636" spans="1:5">
      <c r="A636" s="60"/>
      <c r="B636" s="60"/>
      <c r="C636" s="60"/>
      <c r="D636" s="65"/>
      <c r="E636" s="65"/>
    </row>
    <row r="637" spans="1:5">
      <c r="A637" s="60"/>
      <c r="B637" s="60"/>
      <c r="C637" s="60"/>
      <c r="D637" s="65"/>
      <c r="E637" s="65"/>
    </row>
    <row r="638" spans="1:5">
      <c r="A638" s="60"/>
      <c r="B638" s="60"/>
      <c r="C638" s="60"/>
      <c r="D638" s="65"/>
      <c r="E638" s="65"/>
    </row>
    <row r="639" spans="1:5">
      <c r="A639" s="60"/>
      <c r="B639" s="60"/>
      <c r="C639" s="60"/>
      <c r="D639" s="65"/>
      <c r="E639" s="65"/>
    </row>
    <row r="640" spans="1:5">
      <c r="A640" s="60"/>
      <c r="B640" s="60"/>
      <c r="C640" s="60"/>
      <c r="D640" s="65"/>
      <c r="E640" s="65"/>
    </row>
    <row r="641" spans="1:5">
      <c r="A641" s="60"/>
      <c r="B641" s="60"/>
      <c r="C641" s="60"/>
      <c r="D641" s="65"/>
      <c r="E641" s="65"/>
    </row>
    <row r="642" spans="1:5">
      <c r="A642" s="60"/>
      <c r="B642" s="60"/>
      <c r="C642" s="60"/>
      <c r="D642" s="65"/>
      <c r="E642" s="65"/>
    </row>
    <row r="643" spans="1:5">
      <c r="A643" s="60"/>
      <c r="B643" s="60"/>
      <c r="C643" s="60"/>
      <c r="D643" s="65"/>
      <c r="E643" s="65"/>
    </row>
    <row r="644" spans="1:5">
      <c r="A644" s="60"/>
      <c r="B644" s="60"/>
      <c r="C644" s="60"/>
      <c r="D644" s="65"/>
      <c r="E644" s="65"/>
    </row>
    <row r="645" spans="1:5">
      <c r="A645" s="60"/>
      <c r="B645" s="60"/>
      <c r="C645" s="60"/>
      <c r="D645" s="65"/>
      <c r="E645" s="65"/>
    </row>
    <row r="646" spans="1:5">
      <c r="A646" s="60"/>
      <c r="B646" s="60"/>
      <c r="C646" s="60"/>
      <c r="D646" s="65"/>
      <c r="E646" s="65"/>
    </row>
    <row r="647" spans="1:5">
      <c r="A647" s="60"/>
      <c r="B647" s="60"/>
      <c r="C647" s="60"/>
      <c r="D647" s="65"/>
      <c r="E647" s="65"/>
    </row>
    <row r="648" spans="1:5">
      <c r="A648" s="60"/>
      <c r="B648" s="60"/>
      <c r="C648" s="60"/>
      <c r="D648" s="65"/>
      <c r="E648" s="65"/>
    </row>
    <row r="649" spans="1:5">
      <c r="A649" s="60"/>
      <c r="B649" s="60"/>
      <c r="C649" s="60"/>
      <c r="D649" s="65"/>
      <c r="E649" s="65"/>
    </row>
    <row r="650" spans="1:5">
      <c r="A650" s="60"/>
      <c r="B650" s="60"/>
      <c r="C650" s="60"/>
      <c r="D650" s="65"/>
      <c r="E650" s="65"/>
    </row>
    <row r="651" spans="1:5">
      <c r="A651" s="60"/>
      <c r="B651" s="60"/>
      <c r="C651" s="60"/>
      <c r="D651" s="65"/>
      <c r="E651" s="65"/>
    </row>
    <row r="652" spans="1:5">
      <c r="A652" s="60"/>
      <c r="B652" s="60"/>
      <c r="C652" s="60"/>
      <c r="D652" s="65"/>
      <c r="E652" s="65"/>
    </row>
    <row r="653" spans="1:5">
      <c r="A653" s="60"/>
      <c r="B653" s="60"/>
      <c r="C653" s="60"/>
      <c r="D653" s="65"/>
      <c r="E653" s="65"/>
    </row>
    <row r="654" spans="1:5">
      <c r="A654" s="60"/>
      <c r="B654" s="60"/>
      <c r="C654" s="60"/>
      <c r="D654" s="65"/>
      <c r="E654" s="65"/>
    </row>
    <row r="655" spans="1:5">
      <c r="A655" s="60"/>
      <c r="B655" s="60"/>
      <c r="C655" s="60"/>
      <c r="D655" s="65"/>
      <c r="E655" s="65"/>
    </row>
    <row r="656" spans="1:5">
      <c r="A656" s="60"/>
      <c r="B656" s="60"/>
      <c r="C656" s="60"/>
      <c r="D656" s="65"/>
      <c r="E656" s="64"/>
    </row>
    <row r="657" spans="1:5">
      <c r="A657" s="60"/>
      <c r="B657" s="60"/>
      <c r="C657" s="60"/>
      <c r="D657" s="64"/>
      <c r="E657" s="65"/>
    </row>
    <row r="658" spans="1:5">
      <c r="A658" s="60"/>
      <c r="B658" s="60"/>
      <c r="C658" s="60"/>
      <c r="D658" s="65"/>
      <c r="E658" s="65"/>
    </row>
    <row r="659" spans="1:5">
      <c r="A659" s="60"/>
      <c r="B659" s="60"/>
      <c r="C659" s="60"/>
      <c r="D659" s="65"/>
      <c r="E659" s="65"/>
    </row>
    <row r="660" spans="1:5">
      <c r="A660" s="60"/>
      <c r="B660" s="60"/>
      <c r="C660" s="60"/>
      <c r="D660" s="65"/>
      <c r="E660" s="65"/>
    </row>
    <row r="661" spans="1:5">
      <c r="A661" s="60"/>
      <c r="B661" s="60"/>
      <c r="C661" s="60"/>
      <c r="D661" s="65"/>
      <c r="E661" s="65"/>
    </row>
    <row r="662" spans="1:5">
      <c r="A662" s="60"/>
      <c r="B662" s="60"/>
      <c r="C662" s="60"/>
      <c r="D662" s="65"/>
      <c r="E662" s="65"/>
    </row>
    <row r="663" spans="1:5">
      <c r="A663" s="60"/>
      <c r="B663" s="60"/>
      <c r="C663" s="60"/>
      <c r="D663" s="65"/>
      <c r="E663" s="65"/>
    </row>
    <row r="664" spans="1:5">
      <c r="A664" s="60"/>
      <c r="B664" s="60"/>
      <c r="C664" s="60"/>
      <c r="D664" s="65"/>
      <c r="E664" s="65"/>
    </row>
    <row r="665" spans="1:5">
      <c r="A665" s="60"/>
      <c r="B665" s="60"/>
      <c r="C665" s="60"/>
      <c r="D665" s="65"/>
      <c r="E665" s="65"/>
    </row>
    <row r="666" spans="1:5">
      <c r="A666" s="60"/>
      <c r="B666" s="60"/>
      <c r="C666" s="60"/>
      <c r="D666" s="65"/>
      <c r="E666" s="65"/>
    </row>
    <row r="667" spans="1:5">
      <c r="A667" s="60"/>
      <c r="B667" s="60"/>
      <c r="C667" s="60"/>
      <c r="D667" s="65"/>
      <c r="E667" s="65"/>
    </row>
    <row r="668" spans="1:5">
      <c r="A668" s="60"/>
      <c r="B668" s="60"/>
      <c r="C668" s="60"/>
      <c r="D668" s="65"/>
      <c r="E668" s="65"/>
    </row>
    <row r="669" spans="1:5">
      <c r="A669" s="60"/>
      <c r="B669" s="60"/>
      <c r="C669" s="60"/>
      <c r="D669" s="65"/>
      <c r="E669" s="65"/>
    </row>
    <row r="670" spans="1:5">
      <c r="A670" s="60"/>
      <c r="B670" s="60"/>
      <c r="C670" s="60"/>
      <c r="D670" s="65"/>
      <c r="E670" s="65"/>
    </row>
    <row r="671" spans="1:5">
      <c r="A671" s="60"/>
      <c r="B671" s="60"/>
      <c r="C671" s="60"/>
      <c r="D671" s="65"/>
      <c r="E671" s="65"/>
    </row>
    <row r="672" spans="1:5">
      <c r="A672" s="60"/>
      <c r="B672" s="60"/>
      <c r="C672" s="60"/>
      <c r="D672" s="65"/>
      <c r="E672" s="65"/>
    </row>
    <row r="673" spans="1:5">
      <c r="A673" s="60"/>
      <c r="B673" s="60"/>
      <c r="C673" s="60"/>
      <c r="D673" s="65"/>
      <c r="E673" s="65"/>
    </row>
    <row r="674" spans="1:5">
      <c r="A674" s="60"/>
      <c r="B674" s="60"/>
      <c r="C674" s="60"/>
      <c r="D674" s="65"/>
      <c r="E674" s="65"/>
    </row>
    <row r="675" spans="1:5">
      <c r="A675" s="60"/>
      <c r="B675" s="60"/>
      <c r="C675" s="60"/>
      <c r="D675" s="65"/>
      <c r="E675" s="64"/>
    </row>
    <row r="676" spans="1:5">
      <c r="A676" s="60"/>
      <c r="B676" s="60"/>
      <c r="C676" s="60"/>
      <c r="D676" s="65"/>
      <c r="E676" s="65"/>
    </row>
    <row r="677" spans="1:5">
      <c r="A677" s="60"/>
      <c r="B677" s="60"/>
      <c r="C677" s="60"/>
      <c r="D677" s="65"/>
      <c r="E677" s="65"/>
    </row>
    <row r="678" spans="1:5">
      <c r="A678" s="60"/>
      <c r="B678" s="60"/>
      <c r="C678" s="60"/>
      <c r="D678" s="65"/>
      <c r="E678" s="65"/>
    </row>
    <row r="679" spans="1:5">
      <c r="A679" s="60"/>
      <c r="B679" s="60"/>
      <c r="C679" s="60"/>
      <c r="D679" s="65"/>
      <c r="E679" s="65"/>
    </row>
    <row r="680" spans="1:5">
      <c r="A680" s="60"/>
      <c r="B680" s="60"/>
      <c r="C680" s="60"/>
      <c r="D680" s="65"/>
      <c r="E680" s="65"/>
    </row>
    <row r="681" spans="1:5">
      <c r="A681" s="60"/>
      <c r="B681" s="60"/>
      <c r="C681" s="60"/>
      <c r="D681" s="65"/>
      <c r="E681" s="65"/>
    </row>
    <row r="682" spans="1:5">
      <c r="A682" s="60"/>
      <c r="B682" s="60"/>
      <c r="C682" s="60"/>
      <c r="D682" s="65"/>
      <c r="E682" s="65"/>
    </row>
    <row r="683" spans="1:5">
      <c r="A683" s="60"/>
      <c r="B683" s="60"/>
      <c r="C683" s="60"/>
      <c r="D683" s="65"/>
      <c r="E683" s="65"/>
    </row>
    <row r="684" spans="1:5">
      <c r="A684" s="60"/>
      <c r="B684" s="60"/>
      <c r="C684" s="60"/>
      <c r="D684" s="64"/>
      <c r="E684" s="64"/>
    </row>
    <row r="685" spans="1:5">
      <c r="A685" s="60"/>
      <c r="B685" s="60"/>
      <c r="C685" s="60"/>
      <c r="D685" s="65"/>
      <c r="E685" s="65"/>
    </row>
    <row r="686" spans="1:5">
      <c r="A686" s="60"/>
      <c r="B686" s="60"/>
      <c r="C686" s="60"/>
      <c r="D686" s="65"/>
      <c r="E686" s="65"/>
    </row>
    <row r="687" spans="1:5">
      <c r="A687" s="60"/>
      <c r="B687" s="60"/>
      <c r="C687" s="60"/>
      <c r="D687" s="65"/>
      <c r="E687" s="65"/>
    </row>
    <row r="688" spans="1:5">
      <c r="A688" s="60"/>
      <c r="B688" s="60"/>
      <c r="C688" s="60"/>
      <c r="D688" s="65"/>
      <c r="E688" s="65"/>
    </row>
    <row r="689" spans="1:5">
      <c r="A689" s="60"/>
      <c r="B689" s="60"/>
      <c r="C689" s="60"/>
      <c r="D689" s="65"/>
      <c r="E689" s="65"/>
    </row>
    <row r="690" spans="1:5">
      <c r="A690" s="60"/>
      <c r="B690" s="60"/>
      <c r="C690" s="60"/>
      <c r="D690" s="65"/>
      <c r="E690" s="65"/>
    </row>
    <row r="691" spans="1:5">
      <c r="A691" s="60"/>
      <c r="B691" s="60"/>
      <c r="C691" s="60"/>
      <c r="D691" s="65"/>
      <c r="E691" s="65"/>
    </row>
    <row r="692" spans="1:5">
      <c r="A692" s="60"/>
      <c r="B692" s="60"/>
      <c r="C692" s="60"/>
      <c r="D692" s="65"/>
      <c r="E692" s="65"/>
    </row>
    <row r="693" spans="1:5">
      <c r="A693" s="60"/>
      <c r="B693" s="60"/>
      <c r="C693" s="60"/>
      <c r="D693" s="65"/>
      <c r="E693" s="65"/>
    </row>
    <row r="694" spans="1:5">
      <c r="A694" s="60"/>
      <c r="B694" s="60"/>
      <c r="C694" s="60"/>
      <c r="D694" s="65"/>
      <c r="E694" s="65"/>
    </row>
    <row r="695" spans="1:5">
      <c r="A695" s="60"/>
      <c r="B695" s="60"/>
      <c r="C695" s="60"/>
      <c r="D695" s="65"/>
      <c r="E695" s="65"/>
    </row>
    <row r="696" spans="1:5">
      <c r="A696" s="60"/>
      <c r="B696" s="60"/>
      <c r="C696" s="60"/>
      <c r="D696" s="65"/>
      <c r="E696" s="65"/>
    </row>
    <row r="697" spans="1:5">
      <c r="A697" s="60"/>
      <c r="B697" s="60"/>
      <c r="C697" s="60"/>
      <c r="D697" s="65"/>
      <c r="E697" s="65"/>
    </row>
    <row r="698" spans="1:5">
      <c r="A698" s="60"/>
      <c r="B698" s="60"/>
      <c r="C698" s="60"/>
      <c r="D698" s="65"/>
      <c r="E698" s="65"/>
    </row>
    <row r="699" spans="1:5">
      <c r="A699" s="60"/>
      <c r="B699" s="60"/>
      <c r="C699" s="60"/>
      <c r="D699" s="65"/>
      <c r="E699" s="65"/>
    </row>
    <row r="700" spans="1:5">
      <c r="A700" s="60"/>
      <c r="B700" s="60"/>
      <c r="C700" s="60"/>
      <c r="D700" s="65"/>
      <c r="E700" s="65"/>
    </row>
    <row r="701" spans="1:5">
      <c r="A701" s="60"/>
      <c r="B701" s="60"/>
      <c r="C701" s="60"/>
      <c r="D701" s="65"/>
      <c r="E701" s="65"/>
    </row>
    <row r="702" spans="1:5">
      <c r="A702" s="60"/>
      <c r="B702" s="60"/>
      <c r="C702" s="60"/>
      <c r="D702" s="65"/>
      <c r="E702" s="65"/>
    </row>
    <row r="703" spans="1:5">
      <c r="A703" s="60"/>
      <c r="B703" s="60"/>
      <c r="C703" s="60"/>
      <c r="D703" s="65"/>
      <c r="E703" s="65"/>
    </row>
    <row r="704" spans="1:5">
      <c r="A704" s="60"/>
      <c r="B704" s="60"/>
      <c r="C704" s="60"/>
      <c r="D704" s="65"/>
      <c r="E704" s="65"/>
    </row>
    <row r="705" spans="1:5">
      <c r="A705" s="60"/>
      <c r="B705" s="60"/>
      <c r="C705" s="60"/>
      <c r="D705" s="65"/>
      <c r="E705" s="65"/>
    </row>
    <row r="706" spans="1:5">
      <c r="A706" s="60"/>
      <c r="B706" s="60"/>
      <c r="C706" s="60"/>
      <c r="D706" s="65"/>
      <c r="E706" s="65"/>
    </row>
    <row r="707" spans="1:5">
      <c r="A707" s="60"/>
      <c r="B707" s="60"/>
      <c r="C707" s="60"/>
      <c r="D707" s="65"/>
      <c r="E707" s="65"/>
    </row>
    <row r="708" spans="1:5">
      <c r="A708" s="60"/>
      <c r="B708" s="60"/>
      <c r="C708" s="60"/>
      <c r="D708" s="65"/>
      <c r="E708" s="64"/>
    </row>
    <row r="709" spans="1:5">
      <c r="A709" s="60"/>
      <c r="B709" s="60"/>
      <c r="C709" s="60"/>
      <c r="D709" s="65"/>
      <c r="E709" s="65"/>
    </row>
    <row r="710" spans="1:5">
      <c r="A710" s="60"/>
      <c r="B710" s="60"/>
      <c r="C710" s="60"/>
      <c r="D710" s="65"/>
      <c r="E710" s="65"/>
    </row>
    <row r="711" spans="1:5">
      <c r="A711" s="60"/>
      <c r="B711" s="60"/>
      <c r="C711" s="60"/>
      <c r="D711" s="64"/>
      <c r="E711" s="65"/>
    </row>
    <row r="712" spans="1:5">
      <c r="A712" s="60"/>
      <c r="B712" s="60"/>
      <c r="C712" s="60"/>
      <c r="D712" s="65"/>
      <c r="E712" s="65"/>
    </row>
    <row r="713" spans="1:5">
      <c r="A713" s="60"/>
      <c r="B713" s="60"/>
      <c r="C713" s="60"/>
      <c r="D713" s="65"/>
      <c r="E713" s="65"/>
    </row>
    <row r="714" spans="1:5">
      <c r="A714" s="60"/>
      <c r="B714" s="60"/>
      <c r="C714" s="60"/>
      <c r="D714" s="65"/>
      <c r="E714" s="65"/>
    </row>
    <row r="715" spans="1:5">
      <c r="A715" s="60"/>
      <c r="B715" s="60"/>
      <c r="C715" s="60"/>
      <c r="D715" s="65"/>
      <c r="E715" s="65"/>
    </row>
    <row r="716" spans="1:5">
      <c r="A716" s="60"/>
      <c r="B716" s="60"/>
      <c r="C716" s="60"/>
      <c r="D716" s="65"/>
      <c r="E716" s="65"/>
    </row>
    <row r="717" spans="1:5">
      <c r="A717" s="60"/>
      <c r="B717" s="60"/>
      <c r="C717" s="60"/>
      <c r="D717" s="65"/>
      <c r="E717" s="65"/>
    </row>
    <row r="718" spans="1:5">
      <c r="A718" s="60"/>
      <c r="B718" s="60"/>
      <c r="C718" s="60"/>
      <c r="D718" s="65"/>
      <c r="E718" s="65"/>
    </row>
    <row r="719" spans="1:5">
      <c r="A719" s="60"/>
      <c r="B719" s="60"/>
      <c r="C719" s="60"/>
      <c r="D719" s="65"/>
      <c r="E719" s="65"/>
    </row>
    <row r="720" spans="1:5">
      <c r="A720" s="60"/>
      <c r="B720" s="60"/>
      <c r="C720" s="60"/>
      <c r="D720" s="65"/>
      <c r="E720" s="65"/>
    </row>
    <row r="721" spans="1:5">
      <c r="A721" s="60"/>
      <c r="B721" s="60"/>
      <c r="C721" s="60"/>
      <c r="D721" s="65"/>
      <c r="E721" s="65"/>
    </row>
    <row r="722" spans="1:5">
      <c r="A722" s="60"/>
      <c r="B722" s="60"/>
      <c r="C722" s="60"/>
      <c r="D722" s="65"/>
      <c r="E722" s="65"/>
    </row>
    <row r="723" spans="1:5">
      <c r="A723" s="60"/>
      <c r="B723" s="60"/>
      <c r="C723" s="60"/>
      <c r="D723" s="65"/>
      <c r="E723" s="65"/>
    </row>
    <row r="724" spans="1:5">
      <c r="A724" s="60"/>
      <c r="B724" s="60"/>
      <c r="C724" s="60"/>
      <c r="D724" s="65"/>
      <c r="E724" s="65"/>
    </row>
    <row r="725" spans="1:5">
      <c r="A725" s="60"/>
      <c r="B725" s="60"/>
      <c r="C725" s="60"/>
      <c r="D725" s="65"/>
      <c r="E725" s="65"/>
    </row>
    <row r="726" spans="1:5">
      <c r="A726" s="60"/>
      <c r="B726" s="60"/>
      <c r="C726" s="60"/>
      <c r="D726" s="65"/>
      <c r="E726" s="65"/>
    </row>
    <row r="727" spans="1:5">
      <c r="A727" s="60"/>
      <c r="B727" s="60"/>
      <c r="C727" s="60"/>
      <c r="D727" s="65"/>
      <c r="E727" s="65"/>
    </row>
    <row r="728" spans="1:5">
      <c r="A728" s="60"/>
      <c r="B728" s="60"/>
      <c r="C728" s="60"/>
      <c r="D728" s="65"/>
      <c r="E728" s="65"/>
    </row>
    <row r="729" spans="1:5">
      <c r="A729" s="60"/>
      <c r="B729" s="60"/>
      <c r="C729" s="60"/>
      <c r="D729" s="65"/>
      <c r="E729" s="65"/>
    </row>
    <row r="730" spans="1:5">
      <c r="A730" s="60"/>
      <c r="B730" s="60"/>
      <c r="C730" s="60"/>
      <c r="D730" s="65"/>
      <c r="E730" s="65"/>
    </row>
    <row r="731" spans="1:5">
      <c r="A731" s="60"/>
      <c r="B731" s="60"/>
      <c r="C731" s="60"/>
      <c r="D731" s="65"/>
      <c r="E731" s="65"/>
    </row>
    <row r="732" spans="1:5">
      <c r="A732" s="60"/>
      <c r="B732" s="60"/>
      <c r="C732" s="60"/>
      <c r="D732" s="65"/>
      <c r="E732" s="65"/>
    </row>
    <row r="733" spans="1:5">
      <c r="A733" s="60"/>
      <c r="B733" s="60"/>
      <c r="C733" s="60"/>
      <c r="D733" s="65"/>
      <c r="E733" s="65"/>
    </row>
    <row r="734" spans="1:5">
      <c r="A734" s="60"/>
      <c r="B734" s="60"/>
      <c r="C734" s="60"/>
      <c r="D734" s="65"/>
      <c r="E734" s="65"/>
    </row>
    <row r="735" spans="1:5">
      <c r="A735" s="60"/>
      <c r="B735" s="60"/>
      <c r="C735" s="60"/>
      <c r="D735" s="65"/>
      <c r="E735" s="64"/>
    </row>
    <row r="736" spans="1:5">
      <c r="A736" s="60"/>
      <c r="B736" s="60"/>
      <c r="C736" s="60"/>
      <c r="D736" s="65"/>
      <c r="E736" s="65"/>
    </row>
    <row r="737" spans="1:5">
      <c r="A737" s="60"/>
      <c r="B737" s="60"/>
      <c r="C737" s="60"/>
      <c r="D737" s="65"/>
      <c r="E737" s="65"/>
    </row>
    <row r="738" spans="1:5">
      <c r="A738"/>
      <c r="B738"/>
      <c r="C738"/>
      <c r="D738" s="67"/>
      <c r="E738" s="67"/>
    </row>
    <row r="739" spans="1:5">
      <c r="A739"/>
      <c r="B739"/>
      <c r="C739"/>
      <c r="D739" s="67"/>
      <c r="E739" s="67"/>
    </row>
    <row r="740" spans="1:5">
      <c r="A740"/>
      <c r="B740"/>
      <c r="C740"/>
      <c r="D740" s="67"/>
      <c r="E740" s="67"/>
    </row>
    <row r="741" spans="1:5">
      <c r="A741"/>
      <c r="B741"/>
      <c r="C741"/>
      <c r="D741" s="67"/>
      <c r="E741" s="67"/>
    </row>
    <row r="742" spans="1:5">
      <c r="A742"/>
      <c r="B742"/>
      <c r="C742"/>
      <c r="D742" s="67"/>
      <c r="E742" s="67"/>
    </row>
    <row r="743" spans="1:5">
      <c r="A743"/>
      <c r="B743"/>
      <c r="C743"/>
      <c r="D743" s="67"/>
      <c r="E743" s="67"/>
    </row>
    <row r="744" spans="1:5">
      <c r="A744"/>
      <c r="B744"/>
      <c r="C744"/>
      <c r="D744" s="67"/>
      <c r="E744" s="67"/>
    </row>
    <row r="745" spans="1:5">
      <c r="A745"/>
      <c r="B745"/>
      <c r="C745"/>
      <c r="D745" s="67"/>
      <c r="E745" s="67"/>
    </row>
    <row r="746" spans="1:5">
      <c r="A746"/>
      <c r="B746"/>
      <c r="C746"/>
      <c r="D746" s="67"/>
      <c r="E746" s="67"/>
    </row>
    <row r="747" spans="1:5">
      <c r="A747"/>
      <c r="B747"/>
      <c r="C747"/>
      <c r="D747" s="67"/>
      <c r="E747" s="67"/>
    </row>
    <row r="748" spans="1:5">
      <c r="A748"/>
      <c r="B748"/>
      <c r="C748"/>
      <c r="D748" s="67"/>
      <c r="E748" s="67"/>
    </row>
    <row r="749" spans="1:5">
      <c r="A749"/>
      <c r="B749"/>
      <c r="C749"/>
      <c r="D749" s="67"/>
      <c r="E749" s="67"/>
    </row>
    <row r="750" spans="1:5">
      <c r="A750"/>
      <c r="B750"/>
      <c r="C750"/>
      <c r="D750" s="67"/>
      <c r="E750" s="67"/>
    </row>
    <row r="751" spans="1:5">
      <c r="A751"/>
      <c r="B751"/>
      <c r="C751"/>
      <c r="D751" s="67"/>
      <c r="E751" s="67"/>
    </row>
    <row r="752" spans="1:5">
      <c r="A752"/>
      <c r="B752"/>
      <c r="C752"/>
      <c r="D752" s="67"/>
      <c r="E752" s="67"/>
    </row>
    <row r="753" spans="1:5">
      <c r="A753"/>
      <c r="B753"/>
      <c r="C753"/>
      <c r="D753" s="67"/>
      <c r="E753" s="67"/>
    </row>
    <row r="754" spans="1:5">
      <c r="A754"/>
      <c r="B754"/>
      <c r="C754"/>
      <c r="D754" s="67"/>
      <c r="E754" s="67"/>
    </row>
    <row r="755" spans="1:5">
      <c r="A755"/>
      <c r="B755"/>
      <c r="C755"/>
      <c r="D755" s="67"/>
      <c r="E755" s="67"/>
    </row>
    <row r="756" spans="1:5">
      <c r="A756"/>
      <c r="B756"/>
      <c r="C756"/>
      <c r="D756" s="67"/>
      <c r="E756" s="67"/>
    </row>
    <row r="757" spans="1:5">
      <c r="A757"/>
      <c r="B757"/>
      <c r="C757"/>
      <c r="D757" s="67"/>
      <c r="E757" s="67"/>
    </row>
    <row r="758" spans="1:5">
      <c r="A758"/>
      <c r="B758"/>
      <c r="C758"/>
      <c r="D758" s="67"/>
      <c r="E758" s="67"/>
    </row>
    <row r="759" spans="1:5">
      <c r="A759"/>
      <c r="B759"/>
      <c r="C759"/>
      <c r="D759" s="67"/>
      <c r="E759" s="67"/>
    </row>
    <row r="760" spans="1:5">
      <c r="A760"/>
      <c r="B760"/>
      <c r="C760"/>
      <c r="D760" s="67"/>
      <c r="E760" s="67"/>
    </row>
    <row r="761" spans="1:5">
      <c r="A761"/>
      <c r="B761"/>
      <c r="C761"/>
      <c r="D761" s="67"/>
      <c r="E761" s="67"/>
    </row>
    <row r="762" spans="1:5">
      <c r="A762"/>
      <c r="B762"/>
      <c r="C762"/>
      <c r="D762" s="67"/>
      <c r="E762" s="67"/>
    </row>
    <row r="763" spans="1:5">
      <c r="A763"/>
      <c r="B763"/>
      <c r="C763"/>
      <c r="D763" s="67"/>
      <c r="E763" s="67"/>
    </row>
    <row r="764" spans="1:5">
      <c r="A764"/>
      <c r="B764"/>
      <c r="C764"/>
      <c r="D764" s="67"/>
      <c r="E764" s="67"/>
    </row>
    <row r="765" spans="1:5">
      <c r="A765"/>
      <c r="B765"/>
      <c r="C765"/>
      <c r="D765" s="67"/>
      <c r="E765" s="67"/>
    </row>
    <row r="766" spans="1:5">
      <c r="A766"/>
      <c r="B766"/>
      <c r="C766"/>
      <c r="D766" s="67"/>
      <c r="E766" s="67"/>
    </row>
    <row r="767" spans="1:5">
      <c r="A767"/>
      <c r="B767"/>
      <c r="C767"/>
      <c r="D767" s="67"/>
      <c r="E767" s="67"/>
    </row>
    <row r="768" spans="1:5">
      <c r="A768"/>
      <c r="B768"/>
      <c r="C768"/>
      <c r="D768" s="67"/>
      <c r="E768" s="67"/>
    </row>
    <row r="769" spans="1:5">
      <c r="A769"/>
      <c r="B769"/>
      <c r="C769"/>
      <c r="D769" s="67"/>
      <c r="E769" s="67"/>
    </row>
    <row r="770" spans="1:5">
      <c r="A770"/>
      <c r="B770"/>
      <c r="C770"/>
      <c r="D770" s="67"/>
      <c r="E770" s="67"/>
    </row>
    <row r="771" spans="1:5">
      <c r="A771"/>
      <c r="B771"/>
      <c r="C771"/>
      <c r="D771" s="67"/>
      <c r="E771" s="67"/>
    </row>
    <row r="772" spans="1:5">
      <c r="A772"/>
      <c r="B772"/>
      <c r="C772"/>
      <c r="D772" s="67"/>
      <c r="E772" s="67"/>
    </row>
    <row r="773" spans="1:5">
      <c r="A773"/>
      <c r="B773"/>
      <c r="C773"/>
      <c r="D773" s="67"/>
      <c r="E773" s="67"/>
    </row>
    <row r="774" spans="1:5">
      <c r="A774"/>
      <c r="B774"/>
      <c r="C774"/>
      <c r="D774" s="67"/>
      <c r="E774" s="67"/>
    </row>
    <row r="775" spans="1:5">
      <c r="A775"/>
      <c r="B775"/>
      <c r="C775"/>
      <c r="D775" s="67"/>
      <c r="E775" s="67"/>
    </row>
    <row r="776" spans="1:5">
      <c r="A776"/>
      <c r="B776"/>
      <c r="C776"/>
      <c r="D776" s="67"/>
      <c r="E776" s="67"/>
    </row>
    <row r="777" spans="1:5">
      <c r="A777"/>
      <c r="B777"/>
      <c r="C777"/>
      <c r="D777" s="67"/>
      <c r="E777" s="67"/>
    </row>
    <row r="778" spans="1:5">
      <c r="A778"/>
      <c r="B778"/>
      <c r="C778"/>
      <c r="D778" s="67"/>
      <c r="E778" s="67"/>
    </row>
    <row r="779" spans="1:5">
      <c r="A779"/>
      <c r="B779"/>
      <c r="C779"/>
      <c r="D779" s="67"/>
      <c r="E779" s="67"/>
    </row>
    <row r="780" spans="1:5">
      <c r="A780"/>
      <c r="B780"/>
      <c r="C780"/>
      <c r="D780" s="67"/>
      <c r="E780" s="67"/>
    </row>
    <row r="781" spans="1:5">
      <c r="A781"/>
      <c r="B781"/>
      <c r="C781"/>
      <c r="D781" s="67"/>
      <c r="E781" s="67"/>
    </row>
  </sheetData>
  <phoneticPr fontId="70" type="noConversion"/>
  <pageMargins left="0.7" right="0.7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12"/>
  <sheetViews>
    <sheetView workbookViewId="0">
      <selection activeCell="B13" sqref="B13"/>
    </sheetView>
  </sheetViews>
  <sheetFormatPr defaultRowHeight="12.5"/>
  <sheetData>
    <row r="1" spans="1:2">
      <c r="A1">
        <v>1</v>
      </c>
      <c r="B1" s="3" t="s">
        <v>28</v>
      </c>
    </row>
    <row r="2" spans="1:2">
      <c r="A2">
        <v>2</v>
      </c>
      <c r="B2" s="3" t="s">
        <v>29</v>
      </c>
    </row>
    <row r="3" spans="1:2">
      <c r="A3">
        <v>3</v>
      </c>
      <c r="B3" s="3" t="s">
        <v>30</v>
      </c>
    </row>
    <row r="4" spans="1:2">
      <c r="A4">
        <v>4</v>
      </c>
      <c r="B4" s="3" t="s">
        <v>31</v>
      </c>
    </row>
    <row r="5" spans="1:2">
      <c r="A5">
        <v>5</v>
      </c>
      <c r="B5" s="3" t="s">
        <v>32</v>
      </c>
    </row>
    <row r="6" spans="1:2">
      <c r="A6">
        <v>6</v>
      </c>
      <c r="B6" s="3" t="s">
        <v>33</v>
      </c>
    </row>
    <row r="7" spans="1:2">
      <c r="A7">
        <v>7</v>
      </c>
      <c r="B7" s="3" t="s">
        <v>34</v>
      </c>
    </row>
    <row r="8" spans="1:2">
      <c r="A8">
        <v>8</v>
      </c>
      <c r="B8" s="3" t="s">
        <v>35</v>
      </c>
    </row>
    <row r="9" spans="1:2">
      <c r="A9">
        <v>9</v>
      </c>
      <c r="B9" s="3" t="s">
        <v>36</v>
      </c>
    </row>
    <row r="10" spans="1:2">
      <c r="A10">
        <v>10</v>
      </c>
      <c r="B10" s="3" t="s">
        <v>38</v>
      </c>
    </row>
    <row r="11" spans="1:2">
      <c r="A11">
        <v>11</v>
      </c>
      <c r="B11" s="3" t="s">
        <v>37</v>
      </c>
    </row>
    <row r="12" spans="1:2">
      <c r="A12">
        <v>12</v>
      </c>
      <c r="B12" s="3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D43"/>
  <sheetViews>
    <sheetView workbookViewId="0">
      <selection activeCell="C18" sqref="C18"/>
    </sheetView>
  </sheetViews>
  <sheetFormatPr defaultRowHeight="12.5"/>
  <cols>
    <col min="1" max="1" width="10.1796875" bestFit="1" customWidth="1"/>
    <col min="3" max="4" width="10.1796875" bestFit="1" customWidth="1"/>
  </cols>
  <sheetData>
    <row r="1" spans="1:4">
      <c r="A1" t="s">
        <v>49</v>
      </c>
      <c r="C1" s="1" t="e">
        <f>#REF!</f>
        <v>#REF!</v>
      </c>
    </row>
    <row r="2" spans="1:4">
      <c r="A2" t="s">
        <v>48</v>
      </c>
      <c r="C2" s="1" t="e">
        <f>#REF!</f>
        <v>#REF!</v>
      </c>
    </row>
    <row r="4" spans="1:4">
      <c r="A4" t="s">
        <v>42</v>
      </c>
      <c r="B4" t="s">
        <v>50</v>
      </c>
      <c r="C4" t="s">
        <v>51</v>
      </c>
      <c r="D4" t="s">
        <v>52</v>
      </c>
    </row>
    <row r="5" spans="1:4">
      <c r="A5" s="1" t="e">
        <f>IF(A4="tanggal",C1,IF(A4="","",IF(A4+1&gt;$C$2,"",IF(A4="","",A4+1))))</f>
        <v>#REF!</v>
      </c>
      <c r="B5" t="e">
        <f>TEXT(A5,"dddd")</f>
        <v>#REF!</v>
      </c>
      <c r="C5" t="e">
        <f t="shared" ref="C5:C10" si="0">IF(A5="","",IF(B5="Monday","Senin",IF(B5="Tuesday","Selasa",IF(B5="Wednesday","Rabu",IF(B5="Thursday","Kamis",IF(B5="Friday","Jum'at",IF(B5="Saturday","Sabtu",IF(B5="Sunday","Minggu",""))))))))</f>
        <v>#REF!</v>
      </c>
      <c r="D5" t="e">
        <f>IF(C5="","",1)</f>
        <v>#REF!</v>
      </c>
    </row>
    <row r="6" spans="1:4">
      <c r="A6" s="1" t="e">
        <f t="shared" ref="A6:A40" si="1">IF(A5="tanggal",C2,IF(A5="","",IF(A5+1&gt;$C$2,"",IF(A5="","",A5+1))))</f>
        <v>#REF!</v>
      </c>
      <c r="B6" t="e">
        <f t="shared" ref="B6:B40" si="2">TEXT(A6,"dddd")</f>
        <v>#REF!</v>
      </c>
      <c r="C6" t="e">
        <f t="shared" si="0"/>
        <v>#REF!</v>
      </c>
      <c r="D6" t="e">
        <f t="shared" ref="D6:D40" si="3">IF(C6="","",1)</f>
        <v>#REF!</v>
      </c>
    </row>
    <row r="7" spans="1:4">
      <c r="A7" s="1" t="e">
        <f t="shared" si="1"/>
        <v>#REF!</v>
      </c>
      <c r="B7" t="e">
        <f t="shared" si="2"/>
        <v>#REF!</v>
      </c>
      <c r="C7" t="e">
        <f t="shared" si="0"/>
        <v>#REF!</v>
      </c>
      <c r="D7" t="e">
        <f t="shared" si="3"/>
        <v>#REF!</v>
      </c>
    </row>
    <row r="8" spans="1:4">
      <c r="A8" s="1" t="e">
        <f t="shared" si="1"/>
        <v>#REF!</v>
      </c>
      <c r="B8" t="e">
        <f t="shared" si="2"/>
        <v>#REF!</v>
      </c>
      <c r="C8" t="e">
        <f t="shared" si="0"/>
        <v>#REF!</v>
      </c>
      <c r="D8" t="e">
        <f t="shared" si="3"/>
        <v>#REF!</v>
      </c>
    </row>
    <row r="9" spans="1:4">
      <c r="A9" s="1" t="e">
        <f t="shared" si="1"/>
        <v>#REF!</v>
      </c>
      <c r="B9" t="e">
        <f t="shared" si="2"/>
        <v>#REF!</v>
      </c>
      <c r="C9" t="e">
        <f t="shared" si="0"/>
        <v>#REF!</v>
      </c>
      <c r="D9" t="e">
        <f t="shared" si="3"/>
        <v>#REF!</v>
      </c>
    </row>
    <row r="10" spans="1:4">
      <c r="A10" s="1" t="e">
        <f t="shared" si="1"/>
        <v>#REF!</v>
      </c>
      <c r="B10" t="e">
        <f t="shared" si="2"/>
        <v>#REF!</v>
      </c>
      <c r="C10" t="e">
        <f t="shared" si="0"/>
        <v>#REF!</v>
      </c>
      <c r="D10" t="e">
        <f t="shared" si="3"/>
        <v>#REF!</v>
      </c>
    </row>
    <row r="11" spans="1:4">
      <c r="A11" s="1" t="e">
        <f t="shared" si="1"/>
        <v>#REF!</v>
      </c>
      <c r="B11" t="e">
        <f t="shared" si="2"/>
        <v>#REF!</v>
      </c>
      <c r="C11" t="e">
        <f>IF(A11="","",VLOOKUP(TEXT(A11,"dddd"),#REF!,2,TRUE))</f>
        <v>#REF!</v>
      </c>
      <c r="D11" t="e">
        <f t="shared" si="3"/>
        <v>#REF!</v>
      </c>
    </row>
    <row r="12" spans="1:4">
      <c r="A12" s="1" t="e">
        <f t="shared" si="1"/>
        <v>#REF!</v>
      </c>
      <c r="B12" t="e">
        <f t="shared" si="2"/>
        <v>#REF!</v>
      </c>
      <c r="C12" t="e">
        <f>IF(A12="","",VLOOKUP(TEXT(A12,"dddd"),#REF!,2,TRUE))</f>
        <v>#REF!</v>
      </c>
      <c r="D12" t="e">
        <f t="shared" si="3"/>
        <v>#REF!</v>
      </c>
    </row>
    <row r="13" spans="1:4">
      <c r="A13" s="1" t="e">
        <f t="shared" si="1"/>
        <v>#REF!</v>
      </c>
      <c r="B13" t="e">
        <f t="shared" si="2"/>
        <v>#REF!</v>
      </c>
      <c r="C13" t="e">
        <f>IF(A13="","",VLOOKUP(TEXT(A13,"dddd"),#REF!,2,TRUE))</f>
        <v>#REF!</v>
      </c>
      <c r="D13" t="e">
        <f t="shared" si="3"/>
        <v>#REF!</v>
      </c>
    </row>
    <row r="14" spans="1:4">
      <c r="A14" s="1" t="e">
        <f t="shared" si="1"/>
        <v>#REF!</v>
      </c>
      <c r="B14" t="e">
        <f t="shared" si="2"/>
        <v>#REF!</v>
      </c>
      <c r="C14" t="e">
        <f>IF(A14="","",VLOOKUP(TEXT(A14,"dddd"),#REF!,2,TRUE))</f>
        <v>#REF!</v>
      </c>
      <c r="D14" t="e">
        <f t="shared" si="3"/>
        <v>#REF!</v>
      </c>
    </row>
    <row r="15" spans="1:4">
      <c r="A15" s="1" t="e">
        <f t="shared" si="1"/>
        <v>#REF!</v>
      </c>
      <c r="B15" t="e">
        <f t="shared" si="2"/>
        <v>#REF!</v>
      </c>
      <c r="C15" t="e">
        <f>IF(A15="","",VLOOKUP(TEXT(A15,"dddd"),#REF!,2,TRUE))</f>
        <v>#REF!</v>
      </c>
      <c r="D15" t="e">
        <f t="shared" si="3"/>
        <v>#REF!</v>
      </c>
    </row>
    <row r="16" spans="1:4">
      <c r="A16" s="1" t="e">
        <f t="shared" si="1"/>
        <v>#REF!</v>
      </c>
      <c r="B16" t="e">
        <f t="shared" si="2"/>
        <v>#REF!</v>
      </c>
      <c r="C16" t="e">
        <f>IF(A16="","",VLOOKUP(TEXT(A16,"dddd"),#REF!,2,TRUE))</f>
        <v>#REF!</v>
      </c>
      <c r="D16" t="e">
        <f t="shared" si="3"/>
        <v>#REF!</v>
      </c>
    </row>
    <row r="17" spans="1:4">
      <c r="A17" s="1" t="e">
        <f t="shared" si="1"/>
        <v>#REF!</v>
      </c>
      <c r="B17" t="e">
        <f t="shared" si="2"/>
        <v>#REF!</v>
      </c>
      <c r="C17" t="e">
        <f>IF(A17="","",VLOOKUP(TEXT(A17,"dddd"),#REF!,2,TRUE))</f>
        <v>#REF!</v>
      </c>
      <c r="D17" t="e">
        <f t="shared" si="3"/>
        <v>#REF!</v>
      </c>
    </row>
    <row r="18" spans="1:4">
      <c r="A18" s="1" t="e">
        <f t="shared" si="1"/>
        <v>#REF!</v>
      </c>
      <c r="B18" t="e">
        <f t="shared" si="2"/>
        <v>#REF!</v>
      </c>
      <c r="C18" t="e">
        <f>IF(A18="","",VLOOKUP(TEXT(A18,"dddd"),#REF!,2,TRUE))</f>
        <v>#REF!</v>
      </c>
      <c r="D18" t="e">
        <f t="shared" si="3"/>
        <v>#REF!</v>
      </c>
    </row>
    <row r="19" spans="1:4">
      <c r="A19" s="1" t="e">
        <f t="shared" si="1"/>
        <v>#REF!</v>
      </c>
      <c r="B19" t="e">
        <f t="shared" si="2"/>
        <v>#REF!</v>
      </c>
      <c r="C19" t="e">
        <f>IF(A19="","",VLOOKUP(TEXT(A19,"dddd"),#REF!,2,TRUE))</f>
        <v>#REF!</v>
      </c>
      <c r="D19" t="e">
        <f t="shared" si="3"/>
        <v>#REF!</v>
      </c>
    </row>
    <row r="20" spans="1:4">
      <c r="A20" s="1" t="e">
        <f t="shared" si="1"/>
        <v>#REF!</v>
      </c>
      <c r="B20" t="e">
        <f t="shared" si="2"/>
        <v>#REF!</v>
      </c>
      <c r="C20" t="e">
        <f>IF(A20="","",VLOOKUP(TEXT(A20,"dddd"),#REF!,2,TRUE))</f>
        <v>#REF!</v>
      </c>
      <c r="D20" t="e">
        <f t="shared" si="3"/>
        <v>#REF!</v>
      </c>
    </row>
    <row r="21" spans="1:4">
      <c r="A21" s="1" t="e">
        <f t="shared" si="1"/>
        <v>#REF!</v>
      </c>
      <c r="B21" t="e">
        <f t="shared" si="2"/>
        <v>#REF!</v>
      </c>
      <c r="C21" t="e">
        <f>IF(A21="","",VLOOKUP(TEXT(A21,"dddd"),#REF!,2,TRUE))</f>
        <v>#REF!</v>
      </c>
      <c r="D21" t="e">
        <f t="shared" si="3"/>
        <v>#REF!</v>
      </c>
    </row>
    <row r="22" spans="1:4">
      <c r="A22" s="1" t="e">
        <f t="shared" si="1"/>
        <v>#REF!</v>
      </c>
      <c r="B22" t="e">
        <f t="shared" si="2"/>
        <v>#REF!</v>
      </c>
      <c r="C22" t="e">
        <f>IF(A22="","",VLOOKUP(TEXT(A22,"dddd"),#REF!,2,TRUE))</f>
        <v>#REF!</v>
      </c>
      <c r="D22" t="e">
        <f t="shared" si="3"/>
        <v>#REF!</v>
      </c>
    </row>
    <row r="23" spans="1:4">
      <c r="A23" s="1" t="e">
        <f t="shared" si="1"/>
        <v>#REF!</v>
      </c>
      <c r="B23" t="e">
        <f t="shared" si="2"/>
        <v>#REF!</v>
      </c>
      <c r="C23" t="e">
        <f>IF(A23="","",VLOOKUP(TEXT(A23,"dddd"),#REF!,2,TRUE))</f>
        <v>#REF!</v>
      </c>
      <c r="D23" t="e">
        <f t="shared" si="3"/>
        <v>#REF!</v>
      </c>
    </row>
    <row r="24" spans="1:4">
      <c r="A24" s="1" t="e">
        <f t="shared" si="1"/>
        <v>#REF!</v>
      </c>
      <c r="B24" t="e">
        <f t="shared" si="2"/>
        <v>#REF!</v>
      </c>
      <c r="C24" t="e">
        <f>IF(A24="","",VLOOKUP(TEXT(A24,"dddd"),#REF!,2,TRUE))</f>
        <v>#REF!</v>
      </c>
      <c r="D24" t="e">
        <f t="shared" si="3"/>
        <v>#REF!</v>
      </c>
    </row>
    <row r="25" spans="1:4">
      <c r="A25" s="1" t="e">
        <f t="shared" si="1"/>
        <v>#REF!</v>
      </c>
      <c r="B25" t="e">
        <f t="shared" si="2"/>
        <v>#REF!</v>
      </c>
      <c r="C25" t="e">
        <f>IF(A25="","",VLOOKUP(TEXT(A25,"dddd"),#REF!,2,TRUE))</f>
        <v>#REF!</v>
      </c>
      <c r="D25" t="e">
        <f t="shared" si="3"/>
        <v>#REF!</v>
      </c>
    </row>
    <row r="26" spans="1:4">
      <c r="A26" s="1" t="e">
        <f t="shared" si="1"/>
        <v>#REF!</v>
      </c>
      <c r="B26" t="e">
        <f t="shared" si="2"/>
        <v>#REF!</v>
      </c>
      <c r="C26" t="e">
        <f>IF(A26="","",VLOOKUP(TEXT(A26,"dddd"),#REF!,2,TRUE))</f>
        <v>#REF!</v>
      </c>
      <c r="D26" t="e">
        <f t="shared" si="3"/>
        <v>#REF!</v>
      </c>
    </row>
    <row r="27" spans="1:4">
      <c r="A27" s="1" t="e">
        <f t="shared" si="1"/>
        <v>#REF!</v>
      </c>
      <c r="B27" t="e">
        <f t="shared" si="2"/>
        <v>#REF!</v>
      </c>
      <c r="C27" t="e">
        <f>IF(A27="","",VLOOKUP(TEXT(A27,"dddd"),#REF!,2,TRUE))</f>
        <v>#REF!</v>
      </c>
      <c r="D27" t="e">
        <f t="shared" si="3"/>
        <v>#REF!</v>
      </c>
    </row>
    <row r="28" spans="1:4">
      <c r="A28" s="1" t="e">
        <f t="shared" si="1"/>
        <v>#REF!</v>
      </c>
      <c r="B28" t="e">
        <f t="shared" si="2"/>
        <v>#REF!</v>
      </c>
      <c r="C28" t="e">
        <f>IF(A28="","",VLOOKUP(TEXT(A28,"dddd"),#REF!,2,TRUE))</f>
        <v>#REF!</v>
      </c>
      <c r="D28" t="e">
        <f t="shared" si="3"/>
        <v>#REF!</v>
      </c>
    </row>
    <row r="29" spans="1:4">
      <c r="A29" s="1" t="e">
        <f t="shared" si="1"/>
        <v>#REF!</v>
      </c>
      <c r="B29" t="e">
        <f t="shared" si="2"/>
        <v>#REF!</v>
      </c>
      <c r="C29" t="e">
        <f>IF(A29="","",VLOOKUP(TEXT(A29,"dddd"),#REF!,2,TRUE))</f>
        <v>#REF!</v>
      </c>
      <c r="D29" t="e">
        <f t="shared" si="3"/>
        <v>#REF!</v>
      </c>
    </row>
    <row r="30" spans="1:4">
      <c r="A30" s="1" t="e">
        <f t="shared" si="1"/>
        <v>#REF!</v>
      </c>
      <c r="B30" t="e">
        <f t="shared" si="2"/>
        <v>#REF!</v>
      </c>
      <c r="C30" t="e">
        <f>IF(A30="","",VLOOKUP(TEXT(A30,"dddd"),#REF!,2,TRUE))</f>
        <v>#REF!</v>
      </c>
      <c r="D30" t="e">
        <f t="shared" si="3"/>
        <v>#REF!</v>
      </c>
    </row>
    <row r="31" spans="1:4">
      <c r="A31" s="1" t="e">
        <f t="shared" si="1"/>
        <v>#REF!</v>
      </c>
      <c r="B31" t="e">
        <f t="shared" si="2"/>
        <v>#REF!</v>
      </c>
      <c r="C31" t="e">
        <f>IF(A31="","",VLOOKUP(TEXT(A31,"dddd"),#REF!,2,TRUE))</f>
        <v>#REF!</v>
      </c>
      <c r="D31" t="e">
        <f t="shared" si="3"/>
        <v>#REF!</v>
      </c>
    </row>
    <row r="32" spans="1:4">
      <c r="A32" s="1" t="e">
        <f t="shared" si="1"/>
        <v>#REF!</v>
      </c>
      <c r="B32" t="e">
        <f t="shared" si="2"/>
        <v>#REF!</v>
      </c>
      <c r="C32" t="e">
        <f>IF(A32="","",VLOOKUP(TEXT(A32,"dddd"),#REF!,2,TRUE))</f>
        <v>#REF!</v>
      </c>
      <c r="D32" t="e">
        <f t="shared" si="3"/>
        <v>#REF!</v>
      </c>
    </row>
    <row r="33" spans="1:4">
      <c r="A33" s="1" t="e">
        <f t="shared" si="1"/>
        <v>#REF!</v>
      </c>
      <c r="B33" t="e">
        <f t="shared" si="2"/>
        <v>#REF!</v>
      </c>
      <c r="C33" t="e">
        <f>IF(A33="","",VLOOKUP(TEXT(A33,"dddd"),#REF!,2,TRUE))</f>
        <v>#REF!</v>
      </c>
      <c r="D33" t="e">
        <f t="shared" si="3"/>
        <v>#REF!</v>
      </c>
    </row>
    <row r="34" spans="1:4">
      <c r="A34" s="1" t="e">
        <f t="shared" si="1"/>
        <v>#REF!</v>
      </c>
      <c r="B34" t="e">
        <f t="shared" si="2"/>
        <v>#REF!</v>
      </c>
      <c r="C34" t="e">
        <f>IF(A34="","",VLOOKUP(TEXT(A34,"dddd"),#REF!,2,TRUE))</f>
        <v>#REF!</v>
      </c>
      <c r="D34" t="e">
        <f t="shared" si="3"/>
        <v>#REF!</v>
      </c>
    </row>
    <row r="35" spans="1:4">
      <c r="A35" s="1" t="e">
        <f t="shared" si="1"/>
        <v>#REF!</v>
      </c>
      <c r="B35" t="e">
        <f t="shared" si="2"/>
        <v>#REF!</v>
      </c>
      <c r="C35" t="e">
        <f>IF(A35="","",VLOOKUP(TEXT(A35,"dddd"),#REF!,2,TRUE))</f>
        <v>#REF!</v>
      </c>
      <c r="D35" t="e">
        <f t="shared" si="3"/>
        <v>#REF!</v>
      </c>
    </row>
    <row r="36" spans="1:4">
      <c r="A36" s="1" t="e">
        <f t="shared" si="1"/>
        <v>#REF!</v>
      </c>
      <c r="B36" t="e">
        <f t="shared" si="2"/>
        <v>#REF!</v>
      </c>
      <c r="C36" t="e">
        <f>IF(A36="","",VLOOKUP(TEXT(A36,"dddd"),#REF!,2,TRUE))</f>
        <v>#REF!</v>
      </c>
      <c r="D36" t="e">
        <f t="shared" si="3"/>
        <v>#REF!</v>
      </c>
    </row>
    <row r="37" spans="1:4">
      <c r="A37" s="1" t="e">
        <f t="shared" si="1"/>
        <v>#REF!</v>
      </c>
      <c r="B37" t="e">
        <f t="shared" si="2"/>
        <v>#REF!</v>
      </c>
      <c r="C37" t="e">
        <f>IF(A37="","",VLOOKUP(TEXT(A37,"dddd"),#REF!,2,TRUE))</f>
        <v>#REF!</v>
      </c>
      <c r="D37" t="e">
        <f t="shared" si="3"/>
        <v>#REF!</v>
      </c>
    </row>
    <row r="38" spans="1:4">
      <c r="A38" s="1" t="e">
        <f t="shared" si="1"/>
        <v>#REF!</v>
      </c>
      <c r="B38" t="e">
        <f t="shared" si="2"/>
        <v>#REF!</v>
      </c>
      <c r="C38" t="e">
        <f>IF(A38="","",VLOOKUP(TEXT(A38,"dddd"),#REF!,2,TRUE))</f>
        <v>#REF!</v>
      </c>
      <c r="D38" t="e">
        <f t="shared" si="3"/>
        <v>#REF!</v>
      </c>
    </row>
    <row r="39" spans="1:4">
      <c r="A39" s="1" t="e">
        <f t="shared" si="1"/>
        <v>#REF!</v>
      </c>
      <c r="B39" t="e">
        <f t="shared" si="2"/>
        <v>#REF!</v>
      </c>
      <c r="C39" t="e">
        <f>IF(A39="","",VLOOKUP(TEXT(A39,"dddd"),#REF!,2,TRUE))</f>
        <v>#REF!</v>
      </c>
      <c r="D39" t="e">
        <f t="shared" si="3"/>
        <v>#REF!</v>
      </c>
    </row>
    <row r="40" spans="1:4">
      <c r="A40" s="1" t="e">
        <f t="shared" si="1"/>
        <v>#REF!</v>
      </c>
      <c r="B40" t="e">
        <f t="shared" si="2"/>
        <v>#REF!</v>
      </c>
      <c r="C40" t="e">
        <f>IF(A40="","",VLOOKUP(TEXT(A40,"dddd"),#REF!,2,TRUE))</f>
        <v>#REF!</v>
      </c>
      <c r="D40" t="e">
        <f t="shared" si="3"/>
        <v>#REF!</v>
      </c>
    </row>
    <row r="41" spans="1:4">
      <c r="A41" s="1" t="s">
        <v>0</v>
      </c>
    </row>
    <row r="42" spans="1:4">
      <c r="A42" s="1"/>
    </row>
    <row r="43" spans="1:4">
      <c r="A43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AE130"/>
  <sheetViews>
    <sheetView workbookViewId="0">
      <selection activeCell="R12" sqref="R12"/>
    </sheetView>
  </sheetViews>
  <sheetFormatPr defaultRowHeight="15.5"/>
  <cols>
    <col min="1" max="31" width="4.81640625" style="2" customWidth="1"/>
    <col min="32" max="256" width="9.26953125" style="2"/>
    <col min="257" max="287" width="4.81640625" style="2" customWidth="1"/>
    <col min="288" max="512" width="9.26953125" style="2"/>
    <col min="513" max="543" width="4.81640625" style="2" customWidth="1"/>
    <col min="544" max="768" width="9.26953125" style="2"/>
    <col min="769" max="799" width="4.81640625" style="2" customWidth="1"/>
    <col min="800" max="1024" width="9.26953125" style="2"/>
    <col min="1025" max="1055" width="4.81640625" style="2" customWidth="1"/>
    <col min="1056" max="1280" width="9.26953125" style="2"/>
    <col min="1281" max="1311" width="4.81640625" style="2" customWidth="1"/>
    <col min="1312" max="1536" width="9.26953125" style="2"/>
    <col min="1537" max="1567" width="4.81640625" style="2" customWidth="1"/>
    <col min="1568" max="1792" width="9.26953125" style="2"/>
    <col min="1793" max="1823" width="4.81640625" style="2" customWidth="1"/>
    <col min="1824" max="2048" width="9.26953125" style="2"/>
    <col min="2049" max="2079" width="4.81640625" style="2" customWidth="1"/>
    <col min="2080" max="2304" width="9.26953125" style="2"/>
    <col min="2305" max="2335" width="4.81640625" style="2" customWidth="1"/>
    <col min="2336" max="2560" width="9.26953125" style="2"/>
    <col min="2561" max="2591" width="4.81640625" style="2" customWidth="1"/>
    <col min="2592" max="2816" width="9.26953125" style="2"/>
    <col min="2817" max="2847" width="4.81640625" style="2" customWidth="1"/>
    <col min="2848" max="3072" width="9.26953125" style="2"/>
    <col min="3073" max="3103" width="4.81640625" style="2" customWidth="1"/>
    <col min="3104" max="3328" width="9.26953125" style="2"/>
    <col min="3329" max="3359" width="4.81640625" style="2" customWidth="1"/>
    <col min="3360" max="3584" width="9.26953125" style="2"/>
    <col min="3585" max="3615" width="4.81640625" style="2" customWidth="1"/>
    <col min="3616" max="3840" width="9.26953125" style="2"/>
    <col min="3841" max="3871" width="4.81640625" style="2" customWidth="1"/>
    <col min="3872" max="4096" width="9.26953125" style="2"/>
    <col min="4097" max="4127" width="4.81640625" style="2" customWidth="1"/>
    <col min="4128" max="4352" width="9.26953125" style="2"/>
    <col min="4353" max="4383" width="4.81640625" style="2" customWidth="1"/>
    <col min="4384" max="4608" width="9.26953125" style="2"/>
    <col min="4609" max="4639" width="4.81640625" style="2" customWidth="1"/>
    <col min="4640" max="4864" width="9.26953125" style="2"/>
    <col min="4865" max="4895" width="4.81640625" style="2" customWidth="1"/>
    <col min="4896" max="5120" width="9.26953125" style="2"/>
    <col min="5121" max="5151" width="4.81640625" style="2" customWidth="1"/>
    <col min="5152" max="5376" width="9.26953125" style="2"/>
    <col min="5377" max="5407" width="4.81640625" style="2" customWidth="1"/>
    <col min="5408" max="5632" width="9.26953125" style="2"/>
    <col min="5633" max="5663" width="4.81640625" style="2" customWidth="1"/>
    <col min="5664" max="5888" width="9.26953125" style="2"/>
    <col min="5889" max="5919" width="4.81640625" style="2" customWidth="1"/>
    <col min="5920" max="6144" width="9.26953125" style="2"/>
    <col min="6145" max="6175" width="4.81640625" style="2" customWidth="1"/>
    <col min="6176" max="6400" width="9.26953125" style="2"/>
    <col min="6401" max="6431" width="4.81640625" style="2" customWidth="1"/>
    <col min="6432" max="6656" width="9.26953125" style="2"/>
    <col min="6657" max="6687" width="4.81640625" style="2" customWidth="1"/>
    <col min="6688" max="6912" width="9.26953125" style="2"/>
    <col min="6913" max="6943" width="4.81640625" style="2" customWidth="1"/>
    <col min="6944" max="7168" width="9.26953125" style="2"/>
    <col min="7169" max="7199" width="4.81640625" style="2" customWidth="1"/>
    <col min="7200" max="7424" width="9.26953125" style="2"/>
    <col min="7425" max="7455" width="4.81640625" style="2" customWidth="1"/>
    <col min="7456" max="7680" width="9.26953125" style="2"/>
    <col min="7681" max="7711" width="4.81640625" style="2" customWidth="1"/>
    <col min="7712" max="7936" width="9.26953125" style="2"/>
    <col min="7937" max="7967" width="4.81640625" style="2" customWidth="1"/>
    <col min="7968" max="8192" width="9.26953125" style="2"/>
    <col min="8193" max="8223" width="4.81640625" style="2" customWidth="1"/>
    <col min="8224" max="8448" width="9.26953125" style="2"/>
    <col min="8449" max="8479" width="4.81640625" style="2" customWidth="1"/>
    <col min="8480" max="8704" width="9.26953125" style="2"/>
    <col min="8705" max="8735" width="4.81640625" style="2" customWidth="1"/>
    <col min="8736" max="8960" width="9.26953125" style="2"/>
    <col min="8961" max="8991" width="4.81640625" style="2" customWidth="1"/>
    <col min="8992" max="9216" width="9.26953125" style="2"/>
    <col min="9217" max="9247" width="4.81640625" style="2" customWidth="1"/>
    <col min="9248" max="9472" width="9.26953125" style="2"/>
    <col min="9473" max="9503" width="4.81640625" style="2" customWidth="1"/>
    <col min="9504" max="9728" width="9.26953125" style="2"/>
    <col min="9729" max="9759" width="4.81640625" style="2" customWidth="1"/>
    <col min="9760" max="9984" width="9.26953125" style="2"/>
    <col min="9985" max="10015" width="4.81640625" style="2" customWidth="1"/>
    <col min="10016" max="10240" width="9.26953125" style="2"/>
    <col min="10241" max="10271" width="4.81640625" style="2" customWidth="1"/>
    <col min="10272" max="10496" width="9.26953125" style="2"/>
    <col min="10497" max="10527" width="4.81640625" style="2" customWidth="1"/>
    <col min="10528" max="10752" width="9.26953125" style="2"/>
    <col min="10753" max="10783" width="4.81640625" style="2" customWidth="1"/>
    <col min="10784" max="11008" width="9.26953125" style="2"/>
    <col min="11009" max="11039" width="4.81640625" style="2" customWidth="1"/>
    <col min="11040" max="11264" width="9.26953125" style="2"/>
    <col min="11265" max="11295" width="4.81640625" style="2" customWidth="1"/>
    <col min="11296" max="11520" width="9.26953125" style="2"/>
    <col min="11521" max="11551" width="4.81640625" style="2" customWidth="1"/>
    <col min="11552" max="11776" width="9.26953125" style="2"/>
    <col min="11777" max="11807" width="4.81640625" style="2" customWidth="1"/>
    <col min="11808" max="12032" width="9.26953125" style="2"/>
    <col min="12033" max="12063" width="4.81640625" style="2" customWidth="1"/>
    <col min="12064" max="12288" width="9.26953125" style="2"/>
    <col min="12289" max="12319" width="4.81640625" style="2" customWidth="1"/>
    <col min="12320" max="12544" width="9.26953125" style="2"/>
    <col min="12545" max="12575" width="4.81640625" style="2" customWidth="1"/>
    <col min="12576" max="12800" width="9.26953125" style="2"/>
    <col min="12801" max="12831" width="4.81640625" style="2" customWidth="1"/>
    <col min="12832" max="13056" width="9.26953125" style="2"/>
    <col min="13057" max="13087" width="4.81640625" style="2" customWidth="1"/>
    <col min="13088" max="13312" width="9.26953125" style="2"/>
    <col min="13313" max="13343" width="4.81640625" style="2" customWidth="1"/>
    <col min="13344" max="13568" width="9.26953125" style="2"/>
    <col min="13569" max="13599" width="4.81640625" style="2" customWidth="1"/>
    <col min="13600" max="13824" width="9.26953125" style="2"/>
    <col min="13825" max="13855" width="4.81640625" style="2" customWidth="1"/>
    <col min="13856" max="14080" width="9.26953125" style="2"/>
    <col min="14081" max="14111" width="4.81640625" style="2" customWidth="1"/>
    <col min="14112" max="14336" width="9.26953125" style="2"/>
    <col min="14337" max="14367" width="4.81640625" style="2" customWidth="1"/>
    <col min="14368" max="14592" width="9.26953125" style="2"/>
    <col min="14593" max="14623" width="4.81640625" style="2" customWidth="1"/>
    <col min="14624" max="14848" width="9.26953125" style="2"/>
    <col min="14849" max="14879" width="4.81640625" style="2" customWidth="1"/>
    <col min="14880" max="15104" width="9.26953125" style="2"/>
    <col min="15105" max="15135" width="4.81640625" style="2" customWidth="1"/>
    <col min="15136" max="15360" width="9.26953125" style="2"/>
    <col min="15361" max="15391" width="4.81640625" style="2" customWidth="1"/>
    <col min="15392" max="15616" width="9.26953125" style="2"/>
    <col min="15617" max="15647" width="4.81640625" style="2" customWidth="1"/>
    <col min="15648" max="15872" width="9.26953125" style="2"/>
    <col min="15873" max="15903" width="4.81640625" style="2" customWidth="1"/>
    <col min="15904" max="16128" width="9.26953125" style="2"/>
    <col min="16129" max="16159" width="4.81640625" style="2" customWidth="1"/>
    <col min="16160" max="16384" width="9.26953125" style="2"/>
  </cols>
  <sheetData>
    <row r="1" spans="1:31" ht="15" customHeight="1">
      <c r="A1" s="138" t="s">
        <v>53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40"/>
    </row>
    <row r="2" spans="1:31" ht="15" customHeight="1">
      <c r="A2" s="141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3"/>
    </row>
    <row r="3" spans="1:31">
      <c r="A3" s="4" t="s">
        <v>54</v>
      </c>
      <c r="B3" s="5"/>
      <c r="C3" s="8" t="s">
        <v>55</v>
      </c>
      <c r="D3" s="5"/>
      <c r="E3" s="5"/>
      <c r="F3" s="5"/>
      <c r="G3" s="5"/>
      <c r="H3" s="5"/>
      <c r="I3" s="5"/>
      <c r="J3" s="6"/>
      <c r="K3" s="7" t="s">
        <v>56</v>
      </c>
      <c r="L3" s="8" t="s">
        <v>57</v>
      </c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8"/>
      <c r="Y3" s="144"/>
      <c r="Z3" s="144"/>
      <c r="AA3" s="144"/>
      <c r="AB3" s="144"/>
      <c r="AC3" s="144"/>
      <c r="AD3" s="144"/>
      <c r="AE3" s="145"/>
    </row>
    <row r="4" spans="1:31">
      <c r="A4" s="9">
        <v>26</v>
      </c>
      <c r="B4" s="9">
        <v>27</v>
      </c>
      <c r="C4" s="9">
        <v>28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</row>
    <row r="5" spans="1:31">
      <c r="A5" s="10" t="s">
        <v>58</v>
      </c>
      <c r="B5" s="11"/>
      <c r="C5" s="12" t="s">
        <v>1</v>
      </c>
      <c r="D5" s="11"/>
      <c r="E5" s="11"/>
      <c r="F5" s="11"/>
      <c r="G5" s="11"/>
      <c r="H5" s="11"/>
      <c r="I5" s="11" t="s">
        <v>59</v>
      </c>
      <c r="J5" s="11"/>
      <c r="K5" s="11" t="s">
        <v>60</v>
      </c>
      <c r="L5" s="11"/>
      <c r="M5" s="11"/>
      <c r="N5" s="11"/>
      <c r="O5" s="11"/>
      <c r="P5" s="11"/>
      <c r="Q5" s="11"/>
      <c r="R5" s="6"/>
      <c r="S5" s="6"/>
      <c r="T5" s="13" t="s">
        <v>61</v>
      </c>
      <c r="U5" s="11" t="s">
        <v>62</v>
      </c>
      <c r="V5" s="11"/>
      <c r="W5" s="11"/>
      <c r="X5" s="11"/>
      <c r="Y5" s="11"/>
      <c r="Z5" s="11"/>
      <c r="AA5" s="11"/>
      <c r="AB5" s="11"/>
      <c r="AC5" s="11"/>
      <c r="AD5" s="11"/>
      <c r="AE5" s="14"/>
    </row>
    <row r="6" spans="1:31" ht="20">
      <c r="A6" s="15" t="s">
        <v>63</v>
      </c>
      <c r="B6" s="15" t="s">
        <v>64</v>
      </c>
      <c r="C6" s="15" t="s">
        <v>65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</row>
    <row r="7" spans="1:31">
      <c r="A7" s="10" t="s">
        <v>58</v>
      </c>
      <c r="B7" s="11"/>
      <c r="C7" s="12" t="s">
        <v>2</v>
      </c>
      <c r="D7" s="11"/>
      <c r="E7" s="11"/>
      <c r="F7" s="11"/>
      <c r="G7" s="11"/>
      <c r="H7" s="11"/>
      <c r="I7" s="11" t="s">
        <v>59</v>
      </c>
      <c r="J7" s="11"/>
      <c r="K7" s="11" t="s">
        <v>66</v>
      </c>
      <c r="L7" s="11"/>
      <c r="M7" s="11"/>
      <c r="N7" s="11"/>
      <c r="O7" s="11"/>
      <c r="P7" s="11"/>
      <c r="Q7" s="11"/>
      <c r="R7" s="6"/>
      <c r="S7" s="6"/>
      <c r="T7" s="13" t="s">
        <v>61</v>
      </c>
      <c r="U7" s="11" t="s">
        <v>62</v>
      </c>
      <c r="V7" s="11"/>
      <c r="W7" s="11"/>
      <c r="X7" s="11"/>
      <c r="Y7" s="11"/>
      <c r="Z7" s="11"/>
      <c r="AA7" s="11"/>
      <c r="AB7" s="11"/>
      <c r="AC7" s="11"/>
      <c r="AD7" s="11"/>
      <c r="AE7" s="14"/>
    </row>
    <row r="8" spans="1:31" ht="40">
      <c r="A8" s="15" t="s">
        <v>67</v>
      </c>
      <c r="B8" s="15" t="s">
        <v>68</v>
      </c>
      <c r="C8" s="15" t="s">
        <v>69</v>
      </c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</row>
    <row r="9" spans="1:31">
      <c r="A9" s="10" t="s">
        <v>58</v>
      </c>
      <c r="B9" s="11"/>
      <c r="C9" s="12" t="s">
        <v>70</v>
      </c>
      <c r="D9" s="11"/>
      <c r="E9" s="11"/>
      <c r="F9" s="11"/>
      <c r="G9" s="11"/>
      <c r="H9" s="11"/>
      <c r="I9" s="11" t="s">
        <v>59</v>
      </c>
      <c r="J9" s="11"/>
      <c r="K9" s="11" t="s">
        <v>71</v>
      </c>
      <c r="L9" s="11"/>
      <c r="M9" s="11"/>
      <c r="N9" s="11"/>
      <c r="O9" s="11"/>
      <c r="P9" s="11"/>
      <c r="Q9" s="11"/>
      <c r="R9" s="6"/>
      <c r="S9" s="6"/>
      <c r="T9" s="13" t="s">
        <v>61</v>
      </c>
      <c r="U9" s="11" t="s">
        <v>62</v>
      </c>
      <c r="V9" s="11"/>
      <c r="W9" s="11"/>
      <c r="X9" s="11"/>
      <c r="Y9" s="11"/>
      <c r="Z9" s="11"/>
      <c r="AA9" s="11"/>
      <c r="AB9" s="11"/>
      <c r="AC9" s="11"/>
      <c r="AD9" s="11"/>
      <c r="AE9" s="14"/>
    </row>
    <row r="10" spans="1:31" ht="20">
      <c r="A10" s="15" t="s">
        <v>72</v>
      </c>
      <c r="B10" s="15" t="s">
        <v>73</v>
      </c>
      <c r="C10" s="15" t="s">
        <v>74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</row>
    <row r="11" spans="1:31">
      <c r="A11" s="10" t="s">
        <v>58</v>
      </c>
      <c r="B11" s="11"/>
      <c r="C11" s="12" t="s">
        <v>75</v>
      </c>
      <c r="D11" s="11"/>
      <c r="E11" s="11"/>
      <c r="F11" s="11"/>
      <c r="G11" s="11"/>
      <c r="H11" s="11"/>
      <c r="I11" s="11" t="s">
        <v>59</v>
      </c>
      <c r="J11" s="11"/>
      <c r="K11" s="11" t="s">
        <v>76</v>
      </c>
      <c r="L11" s="11"/>
      <c r="M11" s="11"/>
      <c r="N11" s="11"/>
      <c r="O11" s="11"/>
      <c r="P11" s="11"/>
      <c r="Q11" s="11"/>
      <c r="R11" s="6"/>
      <c r="S11" s="6"/>
      <c r="T11" s="13" t="s">
        <v>61</v>
      </c>
      <c r="U11" s="11" t="s">
        <v>62</v>
      </c>
      <c r="V11" s="11"/>
      <c r="W11" s="11"/>
      <c r="X11" s="11"/>
      <c r="Y11" s="11"/>
      <c r="Z11" s="11"/>
      <c r="AA11" s="11"/>
      <c r="AB11" s="11"/>
      <c r="AC11" s="11"/>
      <c r="AD11" s="11"/>
      <c r="AE11" s="14"/>
    </row>
    <row r="12" spans="1:31" ht="20">
      <c r="A12" s="15" t="s">
        <v>77</v>
      </c>
      <c r="B12" s="15" t="s">
        <v>78</v>
      </c>
      <c r="C12" s="15" t="s">
        <v>79</v>
      </c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</row>
    <row r="13" spans="1:31">
      <c r="A13" s="10" t="s">
        <v>58</v>
      </c>
      <c r="B13" s="11"/>
      <c r="C13" s="12" t="s">
        <v>80</v>
      </c>
      <c r="D13" s="11"/>
      <c r="E13" s="11"/>
      <c r="F13" s="11"/>
      <c r="G13" s="11"/>
      <c r="H13" s="11"/>
      <c r="I13" s="11" t="s">
        <v>59</v>
      </c>
      <c r="J13" s="11"/>
      <c r="K13" s="11" t="s">
        <v>81</v>
      </c>
      <c r="L13" s="11"/>
      <c r="M13" s="11"/>
      <c r="N13" s="11"/>
      <c r="O13" s="11"/>
      <c r="P13" s="11"/>
      <c r="Q13" s="11"/>
      <c r="R13" s="6"/>
      <c r="S13" s="6"/>
      <c r="T13" s="13" t="s">
        <v>61</v>
      </c>
      <c r="U13" s="11" t="s">
        <v>62</v>
      </c>
      <c r="V13" s="11"/>
      <c r="W13" s="11"/>
      <c r="X13" s="11"/>
      <c r="Y13" s="11"/>
      <c r="Z13" s="11"/>
      <c r="AA13" s="11"/>
      <c r="AB13" s="11"/>
      <c r="AC13" s="11"/>
      <c r="AD13" s="11"/>
      <c r="AE13" s="14"/>
    </row>
    <row r="14" spans="1:31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</row>
    <row r="15" spans="1:31">
      <c r="A15" s="10" t="s">
        <v>58</v>
      </c>
      <c r="B15" s="11"/>
      <c r="C15" s="12" t="s">
        <v>3</v>
      </c>
      <c r="D15" s="11"/>
      <c r="E15" s="11"/>
      <c r="F15" s="11"/>
      <c r="G15" s="11"/>
      <c r="H15" s="11"/>
      <c r="I15" s="11" t="s">
        <v>59</v>
      </c>
      <c r="J15" s="11"/>
      <c r="K15" s="11" t="s">
        <v>82</v>
      </c>
      <c r="L15" s="11"/>
      <c r="M15" s="11"/>
      <c r="N15" s="11"/>
      <c r="O15" s="11"/>
      <c r="P15" s="11"/>
      <c r="Q15" s="11"/>
      <c r="R15" s="6"/>
      <c r="S15" s="6"/>
      <c r="T15" s="13" t="s">
        <v>61</v>
      </c>
      <c r="U15" s="11" t="s">
        <v>62</v>
      </c>
      <c r="V15" s="11"/>
      <c r="W15" s="11"/>
      <c r="X15" s="11"/>
      <c r="Y15" s="11"/>
      <c r="Z15" s="11"/>
      <c r="AA15" s="11"/>
      <c r="AB15" s="11"/>
      <c r="AC15" s="11"/>
      <c r="AD15" s="11"/>
      <c r="AE15" s="14"/>
    </row>
    <row r="16" spans="1:31" ht="30">
      <c r="A16" s="15" t="s">
        <v>83</v>
      </c>
      <c r="B16" s="15" t="s">
        <v>84</v>
      </c>
      <c r="C16" s="15" t="s">
        <v>4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</row>
    <row r="17" spans="1:31">
      <c r="A17" s="10" t="s">
        <v>58</v>
      </c>
      <c r="B17" s="11"/>
      <c r="C17" s="12" t="s">
        <v>40</v>
      </c>
      <c r="D17" s="11"/>
      <c r="E17" s="11"/>
      <c r="F17" s="11"/>
      <c r="G17" s="11"/>
      <c r="H17" s="11"/>
      <c r="I17" s="11" t="s">
        <v>59</v>
      </c>
      <c r="J17" s="11"/>
      <c r="K17" s="11" t="s">
        <v>85</v>
      </c>
      <c r="L17" s="11"/>
      <c r="M17" s="11"/>
      <c r="N17" s="11"/>
      <c r="O17" s="11"/>
      <c r="P17" s="11"/>
      <c r="Q17" s="11"/>
      <c r="R17" s="6"/>
      <c r="S17" s="6"/>
      <c r="T17" s="13" t="s">
        <v>61</v>
      </c>
      <c r="U17" s="11" t="s">
        <v>62</v>
      </c>
      <c r="V17" s="11"/>
      <c r="W17" s="11"/>
      <c r="X17" s="11"/>
      <c r="Y17" s="11"/>
      <c r="Z17" s="11"/>
      <c r="AA17" s="11"/>
      <c r="AB17" s="11"/>
      <c r="AC17" s="11"/>
      <c r="AD17" s="11"/>
      <c r="AE17" s="14"/>
    </row>
    <row r="18" spans="1:31" ht="20">
      <c r="A18" s="15"/>
      <c r="B18" s="15" t="s">
        <v>86</v>
      </c>
      <c r="C18" s="15" t="s">
        <v>87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</row>
    <row r="19" spans="1:31">
      <c r="A19" s="10" t="s">
        <v>58</v>
      </c>
      <c r="B19" s="11"/>
      <c r="C19" s="12" t="s">
        <v>5</v>
      </c>
      <c r="D19" s="11"/>
      <c r="E19" s="11"/>
      <c r="F19" s="11"/>
      <c r="G19" s="11"/>
      <c r="H19" s="11"/>
      <c r="I19" s="11" t="s">
        <v>59</v>
      </c>
      <c r="J19" s="11"/>
      <c r="K19" s="11" t="s">
        <v>88</v>
      </c>
      <c r="L19" s="11"/>
      <c r="M19" s="11"/>
      <c r="N19" s="11"/>
      <c r="O19" s="11"/>
      <c r="P19" s="11"/>
      <c r="Q19" s="11"/>
      <c r="R19" s="6"/>
      <c r="S19" s="6"/>
      <c r="T19" s="13" t="s">
        <v>61</v>
      </c>
      <c r="U19" s="11" t="s">
        <v>62</v>
      </c>
      <c r="V19" s="11"/>
      <c r="W19" s="11"/>
      <c r="X19" s="11"/>
      <c r="Y19" s="11"/>
      <c r="Z19" s="11"/>
      <c r="AA19" s="11"/>
      <c r="AB19" s="11"/>
      <c r="AC19" s="11"/>
      <c r="AD19" s="11"/>
      <c r="AE19" s="14"/>
    </row>
    <row r="20" spans="1:31" ht="20">
      <c r="A20" s="15" t="s">
        <v>89</v>
      </c>
      <c r="B20" s="15" t="s">
        <v>90</v>
      </c>
      <c r="C20" s="15" t="s">
        <v>91</v>
      </c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</row>
    <row r="21" spans="1:31">
      <c r="A21" s="10" t="s">
        <v>58</v>
      </c>
      <c r="B21" s="11"/>
      <c r="C21" s="12" t="s">
        <v>92</v>
      </c>
      <c r="D21" s="11"/>
      <c r="E21" s="11"/>
      <c r="F21" s="11"/>
      <c r="G21" s="11"/>
      <c r="H21" s="11"/>
      <c r="I21" s="11" t="s">
        <v>59</v>
      </c>
      <c r="J21" s="11"/>
      <c r="K21" s="11" t="s">
        <v>93</v>
      </c>
      <c r="L21" s="11"/>
      <c r="M21" s="11"/>
      <c r="N21" s="11"/>
      <c r="O21" s="11"/>
      <c r="P21" s="11"/>
      <c r="Q21" s="11"/>
      <c r="R21" s="6"/>
      <c r="S21" s="6"/>
      <c r="T21" s="13" t="s">
        <v>61</v>
      </c>
      <c r="U21" s="11" t="s">
        <v>62</v>
      </c>
      <c r="V21" s="11"/>
      <c r="W21" s="11"/>
      <c r="X21" s="11"/>
      <c r="Y21" s="11"/>
      <c r="Z21" s="11"/>
      <c r="AA21" s="11"/>
      <c r="AB21" s="11"/>
      <c r="AC21" s="11"/>
      <c r="AD21" s="11"/>
      <c r="AE21" s="14"/>
    </row>
    <row r="22" spans="1:31" ht="20">
      <c r="A22" s="15" t="s">
        <v>94</v>
      </c>
      <c r="B22" s="15" t="s">
        <v>95</v>
      </c>
      <c r="C22" s="15" t="s">
        <v>96</v>
      </c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</row>
    <row r="23" spans="1:31">
      <c r="A23" s="10" t="s">
        <v>58</v>
      </c>
      <c r="B23" s="11"/>
      <c r="C23" s="12" t="s">
        <v>6</v>
      </c>
      <c r="D23" s="11"/>
      <c r="E23" s="11"/>
      <c r="F23" s="11"/>
      <c r="G23" s="11"/>
      <c r="H23" s="11"/>
      <c r="I23" s="11" t="s">
        <v>59</v>
      </c>
      <c r="J23" s="11"/>
      <c r="K23" s="11" t="s">
        <v>97</v>
      </c>
      <c r="L23" s="11"/>
      <c r="M23" s="11"/>
      <c r="N23" s="11"/>
      <c r="O23" s="11"/>
      <c r="P23" s="11"/>
      <c r="Q23" s="11"/>
      <c r="R23" s="6"/>
      <c r="S23" s="6"/>
      <c r="T23" s="13" t="s">
        <v>61</v>
      </c>
      <c r="U23" s="11" t="s">
        <v>62</v>
      </c>
      <c r="V23" s="11"/>
      <c r="W23" s="11"/>
      <c r="X23" s="11"/>
      <c r="Y23" s="11"/>
      <c r="Z23" s="11"/>
      <c r="AA23" s="11"/>
      <c r="AB23" s="11"/>
      <c r="AC23" s="11"/>
      <c r="AD23" s="11"/>
      <c r="AE23" s="14"/>
    </row>
    <row r="24" spans="1:31" ht="20">
      <c r="A24" s="15" t="s">
        <v>98</v>
      </c>
      <c r="B24" s="15" t="s">
        <v>99</v>
      </c>
      <c r="C24" s="15" t="s">
        <v>100</v>
      </c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</row>
    <row r="25" spans="1:31">
      <c r="A25" s="10" t="s">
        <v>58</v>
      </c>
      <c r="B25" s="11"/>
      <c r="C25" s="12" t="s">
        <v>26</v>
      </c>
      <c r="D25" s="11"/>
      <c r="E25" s="11"/>
      <c r="F25" s="11"/>
      <c r="G25" s="11"/>
      <c r="H25" s="11"/>
      <c r="I25" s="11" t="s">
        <v>59</v>
      </c>
      <c r="J25" s="11"/>
      <c r="K25" s="11" t="s">
        <v>101</v>
      </c>
      <c r="L25" s="11"/>
      <c r="M25" s="11"/>
      <c r="N25" s="11"/>
      <c r="O25" s="11"/>
      <c r="P25" s="11"/>
      <c r="Q25" s="11"/>
      <c r="R25" s="6"/>
      <c r="S25" s="6"/>
      <c r="T25" s="13" t="s">
        <v>61</v>
      </c>
      <c r="U25" s="11" t="s">
        <v>62</v>
      </c>
      <c r="V25" s="11"/>
      <c r="W25" s="11"/>
      <c r="X25" s="11"/>
      <c r="Y25" s="11"/>
      <c r="Z25" s="11"/>
      <c r="AA25" s="11"/>
      <c r="AB25" s="11"/>
      <c r="AC25" s="11"/>
      <c r="AD25" s="11"/>
      <c r="AE25" s="14"/>
    </row>
    <row r="26" spans="1:31" ht="20">
      <c r="A26" s="15" t="s">
        <v>102</v>
      </c>
      <c r="B26" s="15" t="s">
        <v>103</v>
      </c>
      <c r="C26" s="15" t="s">
        <v>104</v>
      </c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</row>
    <row r="27" spans="1:31">
      <c r="A27" s="10" t="s">
        <v>58</v>
      </c>
      <c r="B27" s="11"/>
      <c r="C27" s="12" t="s">
        <v>7</v>
      </c>
      <c r="D27" s="11"/>
      <c r="E27" s="11"/>
      <c r="F27" s="11"/>
      <c r="G27" s="11"/>
      <c r="H27" s="11"/>
      <c r="I27" s="11" t="s">
        <v>59</v>
      </c>
      <c r="J27" s="11"/>
      <c r="K27" s="11" t="s">
        <v>105</v>
      </c>
      <c r="L27" s="11"/>
      <c r="M27" s="11"/>
      <c r="N27" s="11"/>
      <c r="O27" s="11"/>
      <c r="P27" s="11"/>
      <c r="Q27" s="11"/>
      <c r="R27" s="6"/>
      <c r="S27" s="6"/>
      <c r="T27" s="13" t="s">
        <v>61</v>
      </c>
      <c r="U27" s="11" t="s">
        <v>62</v>
      </c>
      <c r="V27" s="11"/>
      <c r="W27" s="11"/>
      <c r="X27" s="11"/>
      <c r="Y27" s="11"/>
      <c r="Z27" s="11"/>
      <c r="AA27" s="11"/>
      <c r="AB27" s="11"/>
      <c r="AC27" s="11"/>
      <c r="AD27" s="11"/>
      <c r="AE27" s="14"/>
    </row>
    <row r="28" spans="1:31" ht="20">
      <c r="A28" s="15" t="s">
        <v>106</v>
      </c>
      <c r="B28" s="15" t="s">
        <v>107</v>
      </c>
      <c r="C28" s="15" t="s">
        <v>108</v>
      </c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</row>
    <row r="29" spans="1:31">
      <c r="A29" s="10" t="s">
        <v>58</v>
      </c>
      <c r="B29" s="11"/>
      <c r="C29" s="12" t="s">
        <v>109</v>
      </c>
      <c r="D29" s="11"/>
      <c r="E29" s="11"/>
      <c r="F29" s="11"/>
      <c r="G29" s="11"/>
      <c r="H29" s="11"/>
      <c r="I29" s="11" t="s">
        <v>59</v>
      </c>
      <c r="J29" s="11"/>
      <c r="K29" s="11" t="s">
        <v>110</v>
      </c>
      <c r="L29" s="11"/>
      <c r="M29" s="11"/>
      <c r="N29" s="11"/>
      <c r="O29" s="11"/>
      <c r="P29" s="11"/>
      <c r="Q29" s="11"/>
      <c r="R29" s="6"/>
      <c r="S29" s="6"/>
      <c r="T29" s="13" t="s">
        <v>61</v>
      </c>
      <c r="U29" s="11" t="s">
        <v>62</v>
      </c>
      <c r="V29" s="11"/>
      <c r="W29" s="11"/>
      <c r="X29" s="11"/>
      <c r="Y29" s="11"/>
      <c r="Z29" s="11"/>
      <c r="AA29" s="11"/>
      <c r="AB29" s="11"/>
      <c r="AC29" s="11"/>
      <c r="AD29" s="11"/>
      <c r="AE29" s="14"/>
    </row>
    <row r="30" spans="1:31" ht="20">
      <c r="A30" s="15" t="s">
        <v>111</v>
      </c>
      <c r="B30" s="15" t="s">
        <v>112</v>
      </c>
      <c r="C30" s="15" t="s">
        <v>113</v>
      </c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</row>
    <row r="31" spans="1:31">
      <c r="A31" s="10" t="s">
        <v>58</v>
      </c>
      <c r="B31" s="11"/>
      <c r="C31" s="12" t="s">
        <v>114</v>
      </c>
      <c r="D31" s="11"/>
      <c r="E31" s="11"/>
      <c r="F31" s="11"/>
      <c r="G31" s="11"/>
      <c r="H31" s="11"/>
      <c r="I31" s="11" t="s">
        <v>59</v>
      </c>
      <c r="J31" s="11"/>
      <c r="K31" s="11" t="s">
        <v>115</v>
      </c>
      <c r="L31" s="11"/>
      <c r="M31" s="11"/>
      <c r="N31" s="11"/>
      <c r="O31" s="11"/>
      <c r="P31" s="11"/>
      <c r="Q31" s="11"/>
      <c r="R31" s="6"/>
      <c r="S31" s="6"/>
      <c r="T31" s="13" t="s">
        <v>61</v>
      </c>
      <c r="U31" s="11" t="s">
        <v>62</v>
      </c>
      <c r="V31" s="11"/>
      <c r="W31" s="11"/>
      <c r="X31" s="11"/>
      <c r="Y31" s="11"/>
      <c r="Z31" s="11"/>
      <c r="AA31" s="11"/>
      <c r="AB31" s="11"/>
      <c r="AC31" s="11"/>
      <c r="AD31" s="11"/>
      <c r="AE31" s="14"/>
    </row>
    <row r="32" spans="1:31" ht="30">
      <c r="A32" s="15" t="s">
        <v>116</v>
      </c>
      <c r="B32" s="15" t="s">
        <v>117</v>
      </c>
      <c r="C32" s="15" t="s">
        <v>118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</row>
    <row r="33" spans="1:31">
      <c r="A33" s="10" t="s">
        <v>58</v>
      </c>
      <c r="B33" s="11"/>
      <c r="C33" s="12" t="s">
        <v>41</v>
      </c>
      <c r="D33" s="11"/>
      <c r="E33" s="11"/>
      <c r="F33" s="11"/>
      <c r="G33" s="11"/>
      <c r="H33" s="11"/>
      <c r="I33" s="11" t="s">
        <v>59</v>
      </c>
      <c r="J33" s="11"/>
      <c r="K33" s="11" t="s">
        <v>119</v>
      </c>
      <c r="L33" s="11"/>
      <c r="M33" s="11"/>
      <c r="N33" s="11"/>
      <c r="O33" s="11"/>
      <c r="P33" s="11"/>
      <c r="Q33" s="11"/>
      <c r="R33" s="6"/>
      <c r="S33" s="6"/>
      <c r="T33" s="13" t="s">
        <v>61</v>
      </c>
      <c r="U33" s="11" t="s">
        <v>62</v>
      </c>
      <c r="V33" s="11"/>
      <c r="W33" s="11"/>
      <c r="X33" s="11"/>
      <c r="Y33" s="11"/>
      <c r="Z33" s="11"/>
      <c r="AA33" s="11"/>
      <c r="AB33" s="11"/>
      <c r="AC33" s="11"/>
      <c r="AD33" s="11"/>
      <c r="AE33" s="14"/>
    </row>
    <row r="34" spans="1:31" ht="20">
      <c r="A34" s="15" t="s">
        <v>120</v>
      </c>
      <c r="B34" s="15" t="s">
        <v>121</v>
      </c>
      <c r="C34" s="15" t="s">
        <v>122</v>
      </c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</row>
    <row r="35" spans="1:31">
      <c r="A35" s="10" t="s">
        <v>58</v>
      </c>
      <c r="B35" s="11"/>
      <c r="C35" s="12" t="s">
        <v>8</v>
      </c>
      <c r="D35" s="11"/>
      <c r="E35" s="11"/>
      <c r="F35" s="11"/>
      <c r="G35" s="11"/>
      <c r="H35" s="11"/>
      <c r="I35" s="11" t="s">
        <v>59</v>
      </c>
      <c r="J35" s="11"/>
      <c r="K35" s="11" t="s">
        <v>123</v>
      </c>
      <c r="L35" s="11"/>
      <c r="M35" s="11"/>
      <c r="N35" s="11"/>
      <c r="O35" s="11"/>
      <c r="P35" s="11"/>
      <c r="Q35" s="11"/>
      <c r="R35" s="6"/>
      <c r="S35" s="6"/>
      <c r="T35" s="13" t="s">
        <v>61</v>
      </c>
      <c r="U35" s="11" t="s">
        <v>62</v>
      </c>
      <c r="V35" s="11"/>
      <c r="W35" s="11"/>
      <c r="X35" s="11"/>
      <c r="Y35" s="11"/>
      <c r="Z35" s="11"/>
      <c r="AA35" s="11"/>
      <c r="AB35" s="11"/>
      <c r="AC35" s="11"/>
      <c r="AD35" s="11"/>
      <c r="AE35" s="14"/>
    </row>
    <row r="36" spans="1:31" ht="50">
      <c r="A36" s="15" t="s">
        <v>124</v>
      </c>
      <c r="B36" s="15" t="s">
        <v>125</v>
      </c>
      <c r="C36" s="15" t="s">
        <v>126</v>
      </c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</row>
    <row r="37" spans="1:31">
      <c r="A37" s="10" t="s">
        <v>58</v>
      </c>
      <c r="B37" s="11"/>
      <c r="C37" s="12" t="s">
        <v>127</v>
      </c>
      <c r="D37" s="11"/>
      <c r="E37" s="11"/>
      <c r="F37" s="11"/>
      <c r="G37" s="11"/>
      <c r="H37" s="11"/>
      <c r="I37" s="11" t="s">
        <v>59</v>
      </c>
      <c r="J37" s="11"/>
      <c r="K37" s="11" t="s">
        <v>9</v>
      </c>
      <c r="L37" s="11"/>
      <c r="M37" s="11"/>
      <c r="N37" s="11"/>
      <c r="O37" s="11"/>
      <c r="P37" s="11"/>
      <c r="Q37" s="11"/>
      <c r="R37" s="6"/>
      <c r="S37" s="6"/>
      <c r="T37" s="13" t="s">
        <v>61</v>
      </c>
      <c r="U37" s="11" t="s">
        <v>62</v>
      </c>
      <c r="V37" s="11"/>
      <c r="W37" s="11"/>
      <c r="X37" s="11"/>
      <c r="Y37" s="11"/>
      <c r="Z37" s="11"/>
      <c r="AA37" s="11"/>
      <c r="AB37" s="11"/>
      <c r="AC37" s="11"/>
      <c r="AD37" s="11"/>
      <c r="AE37" s="14"/>
    </row>
    <row r="38" spans="1:31" ht="20">
      <c r="A38" s="15" t="s">
        <v>128</v>
      </c>
      <c r="B38" s="15" t="s">
        <v>89</v>
      </c>
      <c r="C38" s="15" t="s">
        <v>129</v>
      </c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</row>
    <row r="39" spans="1:31">
      <c r="A39" s="10" t="s">
        <v>58</v>
      </c>
      <c r="B39" s="11"/>
      <c r="C39" s="12" t="s">
        <v>27</v>
      </c>
      <c r="D39" s="11"/>
      <c r="E39" s="11"/>
      <c r="F39" s="11"/>
      <c r="G39" s="11"/>
      <c r="H39" s="11"/>
      <c r="I39" s="11" t="s">
        <v>59</v>
      </c>
      <c r="J39" s="11"/>
      <c r="K39" s="11" t="s">
        <v>130</v>
      </c>
      <c r="L39" s="11"/>
      <c r="M39" s="11"/>
      <c r="N39" s="11"/>
      <c r="O39" s="11"/>
      <c r="P39" s="11"/>
      <c r="Q39" s="11"/>
      <c r="R39" s="6"/>
      <c r="S39" s="6"/>
      <c r="T39" s="13" t="s">
        <v>61</v>
      </c>
      <c r="U39" s="11" t="s">
        <v>62</v>
      </c>
      <c r="V39" s="11"/>
      <c r="W39" s="11"/>
      <c r="X39" s="11"/>
      <c r="Y39" s="11"/>
      <c r="Z39" s="11"/>
      <c r="AA39" s="11"/>
      <c r="AB39" s="11"/>
      <c r="AC39" s="11"/>
      <c r="AD39" s="11"/>
      <c r="AE39" s="14"/>
    </row>
    <row r="40" spans="1:31" ht="30">
      <c r="A40" s="15" t="s">
        <v>131</v>
      </c>
      <c r="B40" s="15" t="s">
        <v>132</v>
      </c>
      <c r="C40" s="15" t="s">
        <v>133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</row>
    <row r="41" spans="1:31">
      <c r="A41" s="10" t="s">
        <v>58</v>
      </c>
      <c r="B41" s="11"/>
      <c r="C41" s="12" t="s">
        <v>10</v>
      </c>
      <c r="D41" s="11"/>
      <c r="E41" s="11"/>
      <c r="F41" s="11"/>
      <c r="G41" s="11"/>
      <c r="H41" s="11"/>
      <c r="I41" s="11" t="s">
        <v>59</v>
      </c>
      <c r="J41" s="11"/>
      <c r="K41" s="11" t="s">
        <v>134</v>
      </c>
      <c r="L41" s="11"/>
      <c r="M41" s="11"/>
      <c r="N41" s="11"/>
      <c r="O41" s="11"/>
      <c r="P41" s="11"/>
      <c r="Q41" s="11"/>
      <c r="R41" s="6"/>
      <c r="S41" s="6"/>
      <c r="T41" s="13" t="s">
        <v>61</v>
      </c>
      <c r="U41" s="11" t="s">
        <v>62</v>
      </c>
      <c r="V41" s="11"/>
      <c r="W41" s="11"/>
      <c r="X41" s="11"/>
      <c r="Y41" s="11"/>
      <c r="Z41" s="11"/>
      <c r="AA41" s="11"/>
      <c r="AB41" s="11"/>
      <c r="AC41" s="11"/>
      <c r="AD41" s="11"/>
      <c r="AE41" s="14"/>
    </row>
    <row r="42" spans="1:3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</row>
    <row r="43" spans="1:31">
      <c r="A43" s="10" t="s">
        <v>58</v>
      </c>
      <c r="B43" s="11"/>
      <c r="C43" s="12" t="s">
        <v>135</v>
      </c>
      <c r="D43" s="11"/>
      <c r="E43" s="11"/>
      <c r="F43" s="11"/>
      <c r="G43" s="11"/>
      <c r="H43" s="11"/>
      <c r="I43" s="11" t="s">
        <v>59</v>
      </c>
      <c r="J43" s="11"/>
      <c r="K43" s="11" t="s">
        <v>136</v>
      </c>
      <c r="L43" s="11"/>
      <c r="M43" s="11"/>
      <c r="N43" s="11"/>
      <c r="O43" s="11"/>
      <c r="P43" s="11"/>
      <c r="Q43" s="11"/>
      <c r="R43" s="6"/>
      <c r="S43" s="6"/>
      <c r="T43" s="13" t="s">
        <v>61</v>
      </c>
      <c r="U43" s="11" t="s">
        <v>62</v>
      </c>
      <c r="V43" s="11"/>
      <c r="W43" s="11"/>
      <c r="X43" s="11"/>
      <c r="Y43" s="11"/>
      <c r="Z43" s="11"/>
      <c r="AA43" s="11"/>
      <c r="AB43" s="11"/>
      <c r="AC43" s="11"/>
      <c r="AD43" s="11"/>
      <c r="AE43" s="14"/>
    </row>
    <row r="44" spans="1:31" ht="30">
      <c r="A44" s="15" t="s">
        <v>137</v>
      </c>
      <c r="B44" s="15" t="s">
        <v>138</v>
      </c>
      <c r="C44" s="15" t="s">
        <v>139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</row>
    <row r="45" spans="1:31">
      <c r="A45" s="10" t="s">
        <v>58</v>
      </c>
      <c r="B45" s="11"/>
      <c r="C45" s="12" t="s">
        <v>25</v>
      </c>
      <c r="D45" s="11"/>
      <c r="E45" s="11"/>
      <c r="F45" s="11"/>
      <c r="G45" s="11"/>
      <c r="H45" s="11"/>
      <c r="I45" s="11" t="s">
        <v>59</v>
      </c>
      <c r="J45" s="11"/>
      <c r="K45" s="11" t="s">
        <v>140</v>
      </c>
      <c r="L45" s="11"/>
      <c r="M45" s="11"/>
      <c r="N45" s="11"/>
      <c r="O45" s="11"/>
      <c r="P45" s="11"/>
      <c r="Q45" s="11"/>
      <c r="R45" s="6"/>
      <c r="S45" s="6"/>
      <c r="T45" s="13" t="s">
        <v>61</v>
      </c>
      <c r="U45" s="11" t="s">
        <v>62</v>
      </c>
      <c r="V45" s="11"/>
      <c r="W45" s="11"/>
      <c r="X45" s="11"/>
      <c r="Y45" s="11"/>
      <c r="Z45" s="11"/>
      <c r="AA45" s="11"/>
      <c r="AB45" s="11"/>
      <c r="AC45" s="11"/>
      <c r="AD45" s="11"/>
      <c r="AE45" s="14"/>
    </row>
    <row r="46" spans="1:31" ht="20">
      <c r="A46" s="15" t="s">
        <v>141</v>
      </c>
      <c r="B46" s="15" t="s">
        <v>142</v>
      </c>
      <c r="C46" s="15" t="s">
        <v>143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</row>
    <row r="47" spans="1:31">
      <c r="A47" s="10" t="s">
        <v>58</v>
      </c>
      <c r="B47" s="11"/>
      <c r="C47" s="12" t="s">
        <v>11</v>
      </c>
      <c r="D47" s="11"/>
      <c r="E47" s="11"/>
      <c r="F47" s="11"/>
      <c r="G47" s="11"/>
      <c r="H47" s="11"/>
      <c r="I47" s="11" t="s">
        <v>59</v>
      </c>
      <c r="J47" s="11"/>
      <c r="K47" s="11" t="s">
        <v>144</v>
      </c>
      <c r="L47" s="11"/>
      <c r="M47" s="11"/>
      <c r="N47" s="11"/>
      <c r="O47" s="11"/>
      <c r="P47" s="11"/>
      <c r="Q47" s="11"/>
      <c r="R47" s="6"/>
      <c r="S47" s="6"/>
      <c r="T47" s="13" t="s">
        <v>61</v>
      </c>
      <c r="U47" s="11" t="s">
        <v>62</v>
      </c>
      <c r="V47" s="11"/>
      <c r="W47" s="11"/>
      <c r="X47" s="11"/>
      <c r="Y47" s="11"/>
      <c r="Z47" s="11"/>
      <c r="AA47" s="11"/>
      <c r="AB47" s="11"/>
      <c r="AC47" s="11"/>
      <c r="AD47" s="11"/>
      <c r="AE47" s="14"/>
    </row>
    <row r="48" spans="1:31" ht="20">
      <c r="A48" s="15" t="s">
        <v>145</v>
      </c>
      <c r="B48" s="15" t="s">
        <v>146</v>
      </c>
      <c r="C48" s="15" t="s">
        <v>147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</row>
    <row r="49" spans="1:31">
      <c r="A49" s="10" t="s">
        <v>58</v>
      </c>
      <c r="B49" s="11"/>
      <c r="C49" s="12" t="s">
        <v>148</v>
      </c>
      <c r="D49" s="11"/>
      <c r="E49" s="11"/>
      <c r="F49" s="11"/>
      <c r="G49" s="11"/>
      <c r="H49" s="11"/>
      <c r="I49" s="11" t="s">
        <v>59</v>
      </c>
      <c r="J49" s="11"/>
      <c r="K49" s="11" t="s">
        <v>149</v>
      </c>
      <c r="L49" s="11"/>
      <c r="M49" s="11"/>
      <c r="N49" s="11"/>
      <c r="O49" s="11"/>
      <c r="P49" s="11"/>
      <c r="Q49" s="11"/>
      <c r="R49" s="6"/>
      <c r="S49" s="6"/>
      <c r="T49" s="13" t="s">
        <v>61</v>
      </c>
      <c r="U49" s="11" t="s">
        <v>62</v>
      </c>
      <c r="V49" s="11"/>
      <c r="W49" s="11"/>
      <c r="X49" s="11"/>
      <c r="Y49" s="11"/>
      <c r="Z49" s="11"/>
      <c r="AA49" s="11"/>
      <c r="AB49" s="11"/>
      <c r="AC49" s="11"/>
      <c r="AD49" s="11"/>
      <c r="AE49" s="14"/>
    </row>
    <row r="50" spans="1:31" ht="30">
      <c r="A50" s="15" t="s">
        <v>150</v>
      </c>
      <c r="B50" s="15" t="s">
        <v>151</v>
      </c>
      <c r="C50" s="15" t="s">
        <v>152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</row>
    <row r="51" spans="1:31">
      <c r="A51" s="10" t="s">
        <v>58</v>
      </c>
      <c r="B51" s="11"/>
      <c r="C51" s="12" t="s">
        <v>12</v>
      </c>
      <c r="D51" s="11"/>
      <c r="E51" s="11"/>
      <c r="F51" s="11"/>
      <c r="G51" s="11"/>
      <c r="H51" s="11"/>
      <c r="I51" s="11" t="s">
        <v>59</v>
      </c>
      <c r="J51" s="11"/>
      <c r="K51" s="11" t="s">
        <v>153</v>
      </c>
      <c r="L51" s="11"/>
      <c r="M51" s="11"/>
      <c r="N51" s="11"/>
      <c r="O51" s="11"/>
      <c r="P51" s="11"/>
      <c r="Q51" s="11"/>
      <c r="R51" s="6"/>
      <c r="S51" s="6"/>
      <c r="T51" s="13" t="s">
        <v>61</v>
      </c>
      <c r="U51" s="11" t="s">
        <v>62</v>
      </c>
      <c r="V51" s="11"/>
      <c r="W51" s="11"/>
      <c r="X51" s="11"/>
      <c r="Y51" s="11"/>
      <c r="Z51" s="11"/>
      <c r="AA51" s="11"/>
      <c r="AB51" s="11"/>
      <c r="AC51" s="11"/>
      <c r="AD51" s="11"/>
      <c r="AE51" s="14"/>
    </row>
    <row r="52" spans="1:31" ht="20">
      <c r="A52" s="15" t="s">
        <v>154</v>
      </c>
      <c r="B52" s="15" t="s">
        <v>155</v>
      </c>
      <c r="C52" s="15" t="s">
        <v>156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</row>
    <row r="53" spans="1:31">
      <c r="A53" s="10" t="s">
        <v>58</v>
      </c>
      <c r="B53" s="11"/>
      <c r="C53" s="12" t="s">
        <v>13</v>
      </c>
      <c r="D53" s="11"/>
      <c r="E53" s="11"/>
      <c r="F53" s="11"/>
      <c r="G53" s="11"/>
      <c r="H53" s="11"/>
      <c r="I53" s="11" t="s">
        <v>59</v>
      </c>
      <c r="J53" s="11"/>
      <c r="K53" s="11" t="s">
        <v>157</v>
      </c>
      <c r="L53" s="11"/>
      <c r="M53" s="11"/>
      <c r="N53" s="11"/>
      <c r="O53" s="11"/>
      <c r="P53" s="11"/>
      <c r="Q53" s="11"/>
      <c r="R53" s="6"/>
      <c r="S53" s="6"/>
      <c r="T53" s="13" t="s">
        <v>61</v>
      </c>
      <c r="U53" s="11" t="s">
        <v>62</v>
      </c>
      <c r="V53" s="11"/>
      <c r="W53" s="11"/>
      <c r="X53" s="11"/>
      <c r="Y53" s="11"/>
      <c r="Z53" s="11"/>
      <c r="AA53" s="11"/>
      <c r="AB53" s="11"/>
      <c r="AC53" s="11"/>
      <c r="AD53" s="11"/>
      <c r="AE53" s="14"/>
    </row>
    <row r="54" spans="1:31" ht="20">
      <c r="A54" s="15" t="s">
        <v>158</v>
      </c>
      <c r="B54" s="15" t="s">
        <v>159</v>
      </c>
      <c r="C54" s="15" t="s">
        <v>160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</row>
    <row r="55" spans="1:31">
      <c r="A55" s="10" t="s">
        <v>58</v>
      </c>
      <c r="B55" s="11"/>
      <c r="C55" s="12" t="s">
        <v>45</v>
      </c>
      <c r="D55" s="11"/>
      <c r="E55" s="11"/>
      <c r="F55" s="11"/>
      <c r="G55" s="11"/>
      <c r="H55" s="11"/>
      <c r="I55" s="11" t="s">
        <v>59</v>
      </c>
      <c r="J55" s="11"/>
      <c r="K55" s="11" t="s">
        <v>161</v>
      </c>
      <c r="L55" s="11"/>
      <c r="M55" s="11"/>
      <c r="N55" s="11"/>
      <c r="O55" s="11"/>
      <c r="P55" s="11"/>
      <c r="Q55" s="11"/>
      <c r="R55" s="6"/>
      <c r="S55" s="6"/>
      <c r="T55" s="13" t="s">
        <v>61</v>
      </c>
      <c r="U55" s="11" t="s">
        <v>62</v>
      </c>
      <c r="V55" s="11"/>
      <c r="W55" s="11"/>
      <c r="X55" s="11"/>
      <c r="Y55" s="11"/>
      <c r="Z55" s="11"/>
      <c r="AA55" s="11"/>
      <c r="AB55" s="11"/>
      <c r="AC55" s="11"/>
      <c r="AD55" s="11"/>
      <c r="AE55" s="14"/>
    </row>
    <row r="56" spans="1:31" ht="20">
      <c r="A56" s="15" t="s">
        <v>89</v>
      </c>
      <c r="B56" s="15" t="s">
        <v>162</v>
      </c>
      <c r="C56" s="15" t="s">
        <v>163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</row>
    <row r="57" spans="1:31">
      <c r="A57" s="10" t="s">
        <v>58</v>
      </c>
      <c r="B57" s="11"/>
      <c r="C57" s="12" t="s">
        <v>14</v>
      </c>
      <c r="D57" s="11"/>
      <c r="E57" s="11"/>
      <c r="F57" s="11"/>
      <c r="G57" s="11"/>
      <c r="H57" s="11"/>
      <c r="I57" s="11" t="s">
        <v>59</v>
      </c>
      <c r="J57" s="11"/>
      <c r="K57" s="11" t="s">
        <v>164</v>
      </c>
      <c r="L57" s="11"/>
      <c r="M57" s="11"/>
      <c r="N57" s="11"/>
      <c r="O57" s="11"/>
      <c r="P57" s="11"/>
      <c r="Q57" s="11"/>
      <c r="R57" s="6"/>
      <c r="S57" s="6"/>
      <c r="T57" s="13" t="s">
        <v>61</v>
      </c>
      <c r="U57" s="11" t="s">
        <v>62</v>
      </c>
      <c r="V57" s="11"/>
      <c r="W57" s="11"/>
      <c r="X57" s="11"/>
      <c r="Y57" s="11"/>
      <c r="Z57" s="11"/>
      <c r="AA57" s="11"/>
      <c r="AB57" s="11"/>
      <c r="AC57" s="11"/>
      <c r="AD57" s="11"/>
      <c r="AE57" s="14"/>
    </row>
    <row r="58" spans="1:31" ht="20">
      <c r="A58" s="15" t="s">
        <v>165</v>
      </c>
      <c r="B58" s="15" t="s">
        <v>166</v>
      </c>
      <c r="C58" s="15" t="s">
        <v>167</v>
      </c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</row>
    <row r="59" spans="1:31">
      <c r="A59" s="10" t="s">
        <v>58</v>
      </c>
      <c r="B59" s="11"/>
      <c r="C59" s="12" t="s">
        <v>168</v>
      </c>
      <c r="D59" s="11"/>
      <c r="E59" s="11"/>
      <c r="F59" s="11"/>
      <c r="G59" s="11"/>
      <c r="H59" s="11"/>
      <c r="I59" s="11" t="s">
        <v>59</v>
      </c>
      <c r="J59" s="11"/>
      <c r="K59" s="11" t="s">
        <v>169</v>
      </c>
      <c r="L59" s="11"/>
      <c r="M59" s="11"/>
      <c r="N59" s="11"/>
      <c r="O59" s="11"/>
      <c r="P59" s="11"/>
      <c r="Q59" s="11"/>
      <c r="R59" s="6"/>
      <c r="S59" s="6"/>
      <c r="T59" s="13" t="s">
        <v>61</v>
      </c>
      <c r="U59" s="11" t="s">
        <v>62</v>
      </c>
      <c r="V59" s="11"/>
      <c r="W59" s="11"/>
      <c r="X59" s="11"/>
      <c r="Y59" s="11"/>
      <c r="Z59" s="11"/>
      <c r="AA59" s="11"/>
      <c r="AB59" s="11"/>
      <c r="AC59" s="11"/>
      <c r="AD59" s="11"/>
      <c r="AE59" s="14"/>
    </row>
    <row r="60" spans="1:31" ht="30">
      <c r="A60" s="15" t="s">
        <v>170</v>
      </c>
      <c r="B60" s="15" t="s">
        <v>171</v>
      </c>
      <c r="C60" s="15" t="s">
        <v>172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</row>
    <row r="61" spans="1:31">
      <c r="A61" s="10" t="s">
        <v>58</v>
      </c>
      <c r="B61" s="11"/>
      <c r="C61" s="12" t="s">
        <v>15</v>
      </c>
      <c r="D61" s="11"/>
      <c r="E61" s="11"/>
      <c r="F61" s="11"/>
      <c r="G61" s="11"/>
      <c r="H61" s="11"/>
      <c r="I61" s="11" t="s">
        <v>59</v>
      </c>
      <c r="J61" s="11"/>
      <c r="K61" s="11" t="s">
        <v>173</v>
      </c>
      <c r="L61" s="11"/>
      <c r="M61" s="11"/>
      <c r="N61" s="11"/>
      <c r="O61" s="11"/>
      <c r="P61" s="11"/>
      <c r="Q61" s="11"/>
      <c r="R61" s="6"/>
      <c r="S61" s="6"/>
      <c r="T61" s="13" t="s">
        <v>61</v>
      </c>
      <c r="U61" s="11" t="s">
        <v>62</v>
      </c>
      <c r="V61" s="11"/>
      <c r="W61" s="11"/>
      <c r="X61" s="11"/>
      <c r="Y61" s="11"/>
      <c r="Z61" s="11"/>
      <c r="AA61" s="11"/>
      <c r="AB61" s="11"/>
      <c r="AC61" s="11"/>
      <c r="AD61" s="11"/>
      <c r="AE61" s="14"/>
    </row>
    <row r="62" spans="1:31" ht="20">
      <c r="A62" s="15" t="s">
        <v>174</v>
      </c>
      <c r="B62" s="15" t="s">
        <v>175</v>
      </c>
      <c r="C62" s="15" t="s">
        <v>176</v>
      </c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</row>
    <row r="63" spans="1:31">
      <c r="A63" s="10" t="s">
        <v>58</v>
      </c>
      <c r="B63" s="11"/>
      <c r="C63" s="12" t="s">
        <v>16</v>
      </c>
      <c r="D63" s="11"/>
      <c r="E63" s="11"/>
      <c r="F63" s="11"/>
      <c r="G63" s="11"/>
      <c r="H63" s="11"/>
      <c r="I63" s="11" t="s">
        <v>59</v>
      </c>
      <c r="J63" s="11"/>
      <c r="K63" s="11" t="s">
        <v>177</v>
      </c>
      <c r="L63" s="11"/>
      <c r="M63" s="11"/>
      <c r="N63" s="11"/>
      <c r="O63" s="11"/>
      <c r="P63" s="11"/>
      <c r="Q63" s="11"/>
      <c r="R63" s="6"/>
      <c r="S63" s="6"/>
      <c r="T63" s="13" t="s">
        <v>61</v>
      </c>
      <c r="U63" s="11" t="s">
        <v>62</v>
      </c>
      <c r="V63" s="11"/>
      <c r="W63" s="11"/>
      <c r="X63" s="11"/>
      <c r="Y63" s="11"/>
      <c r="Z63" s="11"/>
      <c r="AA63" s="11"/>
      <c r="AB63" s="11"/>
      <c r="AC63" s="11"/>
      <c r="AD63" s="11"/>
      <c r="AE63" s="14"/>
    </row>
    <row r="64" spans="1:31" ht="20">
      <c r="A64" s="15" t="s">
        <v>178</v>
      </c>
      <c r="B64" s="15" t="s">
        <v>179</v>
      </c>
      <c r="C64" s="15" t="s">
        <v>180</v>
      </c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</row>
    <row r="65" spans="1:31">
      <c r="A65" s="10" t="s">
        <v>58</v>
      </c>
      <c r="B65" s="11"/>
      <c r="C65" s="12" t="s">
        <v>44</v>
      </c>
      <c r="D65" s="11"/>
      <c r="E65" s="11"/>
      <c r="F65" s="11"/>
      <c r="G65" s="11"/>
      <c r="H65" s="11"/>
      <c r="I65" s="11" t="s">
        <v>59</v>
      </c>
      <c r="J65" s="11"/>
      <c r="K65" s="11" t="s">
        <v>181</v>
      </c>
      <c r="L65" s="11"/>
      <c r="M65" s="11"/>
      <c r="N65" s="11"/>
      <c r="O65" s="11"/>
      <c r="P65" s="11"/>
      <c r="Q65" s="11"/>
      <c r="R65" s="6"/>
      <c r="S65" s="6"/>
      <c r="T65" s="13" t="s">
        <v>61</v>
      </c>
      <c r="U65" s="11" t="s">
        <v>62</v>
      </c>
      <c r="V65" s="11"/>
      <c r="W65" s="11"/>
      <c r="X65" s="11"/>
      <c r="Y65" s="11"/>
      <c r="Z65" s="11"/>
      <c r="AA65" s="11"/>
      <c r="AB65" s="11"/>
      <c r="AC65" s="11"/>
      <c r="AD65" s="11"/>
      <c r="AE65" s="14"/>
    </row>
    <row r="66" spans="1:31" ht="20">
      <c r="A66" s="15" t="s">
        <v>182</v>
      </c>
      <c r="B66" s="15" t="s">
        <v>183</v>
      </c>
      <c r="C66" s="15" t="s">
        <v>184</v>
      </c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</row>
    <row r="67" spans="1:31">
      <c r="A67" s="10" t="s">
        <v>58</v>
      </c>
      <c r="B67" s="11"/>
      <c r="C67" s="12" t="s">
        <v>17</v>
      </c>
      <c r="D67" s="11"/>
      <c r="E67" s="11"/>
      <c r="F67" s="11"/>
      <c r="G67" s="11"/>
      <c r="H67" s="11"/>
      <c r="I67" s="11" t="s">
        <v>59</v>
      </c>
      <c r="J67" s="11"/>
      <c r="K67" s="11" t="s">
        <v>185</v>
      </c>
      <c r="L67" s="11"/>
      <c r="M67" s="11"/>
      <c r="N67" s="11"/>
      <c r="O67" s="11"/>
      <c r="P67" s="11"/>
      <c r="Q67" s="11"/>
      <c r="R67" s="6"/>
      <c r="S67" s="6"/>
      <c r="T67" s="13" t="s">
        <v>61</v>
      </c>
      <c r="U67" s="11" t="s">
        <v>62</v>
      </c>
      <c r="V67" s="11"/>
      <c r="W67" s="11"/>
      <c r="X67" s="11"/>
      <c r="Y67" s="11"/>
      <c r="Z67" s="11"/>
      <c r="AA67" s="11"/>
      <c r="AB67" s="11"/>
      <c r="AC67" s="11"/>
      <c r="AD67" s="11"/>
      <c r="AE67" s="14"/>
    </row>
    <row r="68" spans="1:31" ht="30">
      <c r="A68" s="15" t="s">
        <v>186</v>
      </c>
      <c r="B68" s="15" t="s">
        <v>187</v>
      </c>
      <c r="C68" s="15" t="s">
        <v>188</v>
      </c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</row>
    <row r="69" spans="1:31">
      <c r="A69" s="10" t="s">
        <v>58</v>
      </c>
      <c r="B69" s="11"/>
      <c r="C69" s="12" t="s">
        <v>18</v>
      </c>
      <c r="D69" s="11"/>
      <c r="E69" s="11"/>
      <c r="F69" s="11"/>
      <c r="G69" s="11"/>
      <c r="H69" s="11"/>
      <c r="I69" s="11" t="s">
        <v>59</v>
      </c>
      <c r="J69" s="11"/>
      <c r="K69" s="11" t="s">
        <v>189</v>
      </c>
      <c r="L69" s="11"/>
      <c r="M69" s="11"/>
      <c r="N69" s="11"/>
      <c r="O69" s="11"/>
      <c r="P69" s="11"/>
      <c r="Q69" s="11"/>
      <c r="R69" s="6"/>
      <c r="S69" s="6"/>
      <c r="T69" s="13" t="s">
        <v>61</v>
      </c>
      <c r="U69" s="11" t="s">
        <v>62</v>
      </c>
      <c r="V69" s="11"/>
      <c r="W69" s="11"/>
      <c r="X69" s="11"/>
      <c r="Y69" s="11"/>
      <c r="Z69" s="11"/>
      <c r="AA69" s="11"/>
      <c r="AB69" s="11"/>
      <c r="AC69" s="11"/>
      <c r="AD69" s="11"/>
      <c r="AE69" s="14"/>
    </row>
    <row r="70" spans="1:31" ht="20">
      <c r="A70" s="15" t="s">
        <v>190</v>
      </c>
      <c r="B70" s="15" t="s">
        <v>191</v>
      </c>
      <c r="C70" s="15" t="s">
        <v>192</v>
      </c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</row>
    <row r="71" spans="1:31">
      <c r="A71" s="10" t="s">
        <v>58</v>
      </c>
      <c r="B71" s="11"/>
      <c r="C71" s="12" t="s">
        <v>19</v>
      </c>
      <c r="D71" s="11"/>
      <c r="E71" s="11"/>
      <c r="F71" s="11"/>
      <c r="G71" s="11"/>
      <c r="H71" s="11"/>
      <c r="I71" s="11" t="s">
        <v>59</v>
      </c>
      <c r="J71" s="11"/>
      <c r="K71" s="11" t="s">
        <v>193</v>
      </c>
      <c r="L71" s="11"/>
      <c r="M71" s="11"/>
      <c r="N71" s="11"/>
      <c r="O71" s="11"/>
      <c r="P71" s="11"/>
      <c r="Q71" s="11"/>
      <c r="R71" s="6"/>
      <c r="S71" s="6"/>
      <c r="T71" s="13" t="s">
        <v>61</v>
      </c>
      <c r="U71" s="11" t="s">
        <v>62</v>
      </c>
      <c r="V71" s="11"/>
      <c r="W71" s="11"/>
      <c r="X71" s="11"/>
      <c r="Y71" s="11"/>
      <c r="Z71" s="11"/>
      <c r="AA71" s="11"/>
      <c r="AB71" s="11"/>
      <c r="AC71" s="11"/>
      <c r="AD71" s="11"/>
      <c r="AE71" s="14"/>
    </row>
    <row r="72" spans="1:31" ht="20">
      <c r="A72" s="15" t="s">
        <v>194</v>
      </c>
      <c r="B72" s="15" t="s">
        <v>195</v>
      </c>
      <c r="C72" s="15" t="s">
        <v>196</v>
      </c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</row>
    <row r="73" spans="1:31">
      <c r="A73" s="10" t="s">
        <v>58</v>
      </c>
      <c r="B73" s="11"/>
      <c r="C73" s="12" t="s">
        <v>20</v>
      </c>
      <c r="D73" s="11"/>
      <c r="E73" s="11"/>
      <c r="F73" s="11"/>
      <c r="G73" s="11"/>
      <c r="H73" s="11"/>
      <c r="I73" s="11" t="s">
        <v>59</v>
      </c>
      <c r="J73" s="11"/>
      <c r="K73" s="11" t="s">
        <v>197</v>
      </c>
      <c r="L73" s="11"/>
      <c r="M73" s="11"/>
      <c r="N73" s="11"/>
      <c r="O73" s="11"/>
      <c r="P73" s="11"/>
      <c r="Q73" s="11"/>
      <c r="R73" s="6"/>
      <c r="S73" s="6"/>
      <c r="T73" s="13" t="s">
        <v>61</v>
      </c>
      <c r="U73" s="11" t="s">
        <v>62</v>
      </c>
      <c r="V73" s="11"/>
      <c r="W73" s="11"/>
      <c r="X73" s="11"/>
      <c r="Y73" s="11"/>
      <c r="Z73" s="11"/>
      <c r="AA73" s="11"/>
      <c r="AB73" s="11"/>
      <c r="AC73" s="11"/>
      <c r="AD73" s="11"/>
      <c r="AE73" s="14"/>
    </row>
    <row r="74" spans="1:31" ht="20">
      <c r="A74" s="15" t="s">
        <v>198</v>
      </c>
      <c r="B74" s="15" t="s">
        <v>199</v>
      </c>
      <c r="C74" s="15" t="s">
        <v>200</v>
      </c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</row>
    <row r="75" spans="1:31">
      <c r="A75" s="10" t="s">
        <v>58</v>
      </c>
      <c r="B75" s="11"/>
      <c r="C75" s="12" t="s">
        <v>21</v>
      </c>
      <c r="D75" s="11"/>
      <c r="E75" s="11"/>
      <c r="F75" s="11"/>
      <c r="G75" s="11"/>
      <c r="H75" s="11"/>
      <c r="I75" s="11" t="s">
        <v>59</v>
      </c>
      <c r="J75" s="11"/>
      <c r="K75" s="11" t="s">
        <v>201</v>
      </c>
      <c r="L75" s="11"/>
      <c r="M75" s="11"/>
      <c r="N75" s="11"/>
      <c r="O75" s="11"/>
      <c r="P75" s="11"/>
      <c r="Q75" s="11"/>
      <c r="R75" s="6"/>
      <c r="S75" s="6"/>
      <c r="T75" s="13" t="s">
        <v>61</v>
      </c>
      <c r="U75" s="11" t="s">
        <v>62</v>
      </c>
      <c r="V75" s="11"/>
      <c r="W75" s="11"/>
      <c r="X75" s="11"/>
      <c r="Y75" s="11"/>
      <c r="Z75" s="11"/>
      <c r="AA75" s="11"/>
      <c r="AB75" s="11"/>
      <c r="AC75" s="11"/>
      <c r="AD75" s="11"/>
      <c r="AE75" s="14"/>
    </row>
    <row r="76" spans="1:31" ht="20">
      <c r="A76" s="15" t="s">
        <v>202</v>
      </c>
      <c r="B76" s="15" t="s">
        <v>203</v>
      </c>
      <c r="C76" s="15" t="s">
        <v>204</v>
      </c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</row>
    <row r="77" spans="1:31">
      <c r="A77" s="10" t="s">
        <v>58</v>
      </c>
      <c r="B77" s="11"/>
      <c r="C77" s="12" t="s">
        <v>22</v>
      </c>
      <c r="D77" s="11"/>
      <c r="E77" s="11"/>
      <c r="F77" s="11"/>
      <c r="G77" s="11"/>
      <c r="H77" s="11"/>
      <c r="I77" s="11" t="s">
        <v>59</v>
      </c>
      <c r="J77" s="11"/>
      <c r="K77" s="11" t="s">
        <v>205</v>
      </c>
      <c r="L77" s="11"/>
      <c r="M77" s="11"/>
      <c r="N77" s="11"/>
      <c r="O77" s="11"/>
      <c r="P77" s="11"/>
      <c r="Q77" s="11"/>
      <c r="R77" s="6"/>
      <c r="S77" s="6"/>
      <c r="T77" s="13" t="s">
        <v>61</v>
      </c>
      <c r="U77" s="11" t="s">
        <v>62</v>
      </c>
      <c r="V77" s="11"/>
      <c r="W77" s="11"/>
      <c r="X77" s="11"/>
      <c r="Y77" s="11"/>
      <c r="Z77" s="11"/>
      <c r="AA77" s="11"/>
      <c r="AB77" s="11"/>
      <c r="AC77" s="11"/>
      <c r="AD77" s="11"/>
      <c r="AE77" s="14"/>
    </row>
    <row r="78" spans="1:3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</row>
    <row r="79" spans="1:31">
      <c r="A79" s="10" t="s">
        <v>58</v>
      </c>
      <c r="B79" s="11"/>
      <c r="C79" s="12" t="s">
        <v>23</v>
      </c>
      <c r="D79" s="11"/>
      <c r="E79" s="11"/>
      <c r="F79" s="11"/>
      <c r="G79" s="11"/>
      <c r="H79" s="11"/>
      <c r="I79" s="11" t="s">
        <v>59</v>
      </c>
      <c r="J79" s="11"/>
      <c r="K79" s="11" t="s">
        <v>206</v>
      </c>
      <c r="L79" s="11"/>
      <c r="M79" s="11"/>
      <c r="N79" s="11"/>
      <c r="O79" s="11"/>
      <c r="P79" s="11"/>
      <c r="Q79" s="11"/>
      <c r="R79" s="6"/>
      <c r="S79" s="6"/>
      <c r="T79" s="13" t="s">
        <v>61</v>
      </c>
      <c r="U79" s="11" t="s">
        <v>62</v>
      </c>
      <c r="V79" s="11"/>
      <c r="W79" s="11"/>
      <c r="X79" s="11"/>
      <c r="Y79" s="11"/>
      <c r="Z79" s="11"/>
      <c r="AA79" s="11"/>
      <c r="AB79" s="11"/>
      <c r="AC79" s="11"/>
      <c r="AD79" s="11"/>
      <c r="AE79" s="14"/>
    </row>
    <row r="80" spans="1:31" ht="30">
      <c r="A80" s="15" t="s">
        <v>207</v>
      </c>
      <c r="B80" s="15" t="s">
        <v>208</v>
      </c>
      <c r="C80" s="15" t="s">
        <v>209</v>
      </c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</row>
    <row r="81" spans="1:31">
      <c r="A81" s="10" t="s">
        <v>58</v>
      </c>
      <c r="B81" s="11"/>
      <c r="C81" s="12" t="s">
        <v>210</v>
      </c>
      <c r="D81" s="11"/>
      <c r="E81" s="11"/>
      <c r="F81" s="11"/>
      <c r="G81" s="11"/>
      <c r="H81" s="11"/>
      <c r="I81" s="11" t="s">
        <v>59</v>
      </c>
      <c r="J81" s="11"/>
      <c r="K81" s="11" t="s">
        <v>211</v>
      </c>
      <c r="L81" s="11"/>
      <c r="M81" s="11"/>
      <c r="N81" s="11"/>
      <c r="O81" s="11"/>
      <c r="P81" s="11"/>
      <c r="Q81" s="11"/>
      <c r="R81" s="6"/>
      <c r="S81" s="6"/>
      <c r="T81" s="13" t="s">
        <v>61</v>
      </c>
      <c r="U81" s="11" t="s">
        <v>62</v>
      </c>
      <c r="V81" s="11"/>
      <c r="W81" s="11"/>
      <c r="X81" s="11"/>
      <c r="Y81" s="11"/>
      <c r="Z81" s="11"/>
      <c r="AA81" s="11"/>
      <c r="AB81" s="11"/>
      <c r="AC81" s="11"/>
      <c r="AD81" s="11"/>
      <c r="AE81" s="14"/>
    </row>
    <row r="82" spans="1:31" ht="20">
      <c r="A82" s="15" t="s">
        <v>212</v>
      </c>
      <c r="B82" s="15" t="s">
        <v>213</v>
      </c>
      <c r="C82" s="15" t="s">
        <v>214</v>
      </c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</row>
    <row r="83" spans="1:31">
      <c r="A83" s="10" t="s">
        <v>58</v>
      </c>
      <c r="B83" s="11"/>
      <c r="C83" s="12" t="s">
        <v>215</v>
      </c>
      <c r="D83" s="11"/>
      <c r="E83" s="11"/>
      <c r="F83" s="11"/>
      <c r="G83" s="11"/>
      <c r="H83" s="11"/>
      <c r="I83" s="11" t="s">
        <v>59</v>
      </c>
      <c r="J83" s="11"/>
      <c r="K83" s="11" t="s">
        <v>216</v>
      </c>
      <c r="L83" s="11"/>
      <c r="M83" s="11"/>
      <c r="N83" s="11"/>
      <c r="O83" s="11"/>
      <c r="P83" s="11"/>
      <c r="Q83" s="11"/>
      <c r="R83" s="6"/>
      <c r="S83" s="6"/>
      <c r="T83" s="13" t="s">
        <v>61</v>
      </c>
      <c r="U83" s="11" t="s">
        <v>62</v>
      </c>
      <c r="V83" s="11"/>
      <c r="W83" s="11"/>
      <c r="X83" s="11"/>
      <c r="Y83" s="11"/>
      <c r="Z83" s="11"/>
      <c r="AA83" s="11"/>
      <c r="AB83" s="11"/>
      <c r="AC83" s="11"/>
      <c r="AD83" s="11"/>
      <c r="AE83" s="14"/>
    </row>
    <row r="84" spans="1:31" ht="40">
      <c r="A84" s="15" t="s">
        <v>217</v>
      </c>
      <c r="B84" s="15" t="s">
        <v>218</v>
      </c>
      <c r="C84" s="15" t="s">
        <v>219</v>
      </c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</row>
    <row r="85" spans="1:31">
      <c r="A85" s="10" t="s">
        <v>58</v>
      </c>
      <c r="B85" s="11"/>
      <c r="C85" s="12" t="s">
        <v>46</v>
      </c>
      <c r="D85" s="11"/>
      <c r="E85" s="11"/>
      <c r="F85" s="11"/>
      <c r="G85" s="11"/>
      <c r="H85" s="11"/>
      <c r="I85" s="11" t="s">
        <v>59</v>
      </c>
      <c r="J85" s="11"/>
      <c r="K85" s="11" t="s">
        <v>220</v>
      </c>
      <c r="L85" s="11"/>
      <c r="M85" s="11"/>
      <c r="N85" s="11"/>
      <c r="O85" s="11"/>
      <c r="P85" s="11"/>
      <c r="Q85" s="11"/>
      <c r="R85" s="6"/>
      <c r="S85" s="6"/>
      <c r="T85" s="13" t="s">
        <v>61</v>
      </c>
      <c r="U85" s="11" t="s">
        <v>62</v>
      </c>
      <c r="V85" s="11"/>
      <c r="W85" s="11"/>
      <c r="X85" s="11"/>
      <c r="Y85" s="11"/>
      <c r="Z85" s="11"/>
      <c r="AA85" s="11"/>
      <c r="AB85" s="11"/>
      <c r="AC85" s="11"/>
      <c r="AD85" s="11"/>
      <c r="AE85" s="14"/>
    </row>
    <row r="86" spans="1:3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</row>
    <row r="87" spans="1:31">
      <c r="A87" s="10" t="s">
        <v>58</v>
      </c>
      <c r="B87" s="11"/>
      <c r="C87" s="12" t="s">
        <v>43</v>
      </c>
      <c r="D87" s="11"/>
      <c r="E87" s="11"/>
      <c r="F87" s="11"/>
      <c r="G87" s="11"/>
      <c r="H87" s="11"/>
      <c r="I87" s="11" t="s">
        <v>59</v>
      </c>
      <c r="J87" s="11"/>
      <c r="K87" s="11" t="s">
        <v>221</v>
      </c>
      <c r="L87" s="11"/>
      <c r="M87" s="11"/>
      <c r="N87" s="11"/>
      <c r="O87" s="11"/>
      <c r="P87" s="11"/>
      <c r="Q87" s="11"/>
      <c r="R87" s="6"/>
      <c r="S87" s="6"/>
      <c r="T87" s="13" t="s">
        <v>61</v>
      </c>
      <c r="U87" s="11" t="s">
        <v>62</v>
      </c>
      <c r="V87" s="11"/>
      <c r="W87" s="11"/>
      <c r="X87" s="11"/>
      <c r="Y87" s="11"/>
      <c r="Z87" s="11"/>
      <c r="AA87" s="11"/>
      <c r="AB87" s="11"/>
      <c r="AC87" s="11"/>
      <c r="AD87" s="11"/>
      <c r="AE87" s="14"/>
    </row>
    <row r="88" spans="1:31" ht="20">
      <c r="A88" s="15" t="s">
        <v>222</v>
      </c>
      <c r="B88" s="15" t="s">
        <v>90</v>
      </c>
      <c r="C88" s="15" t="s">
        <v>223</v>
      </c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</row>
    <row r="89" spans="1:31">
      <c r="A89" s="10" t="s">
        <v>58</v>
      </c>
      <c r="B89" s="11"/>
      <c r="C89" s="12" t="s">
        <v>224</v>
      </c>
      <c r="D89" s="11"/>
      <c r="E89" s="11"/>
      <c r="F89" s="11"/>
      <c r="G89" s="11"/>
      <c r="H89" s="11"/>
      <c r="I89" s="11" t="s">
        <v>59</v>
      </c>
      <c r="J89" s="11"/>
      <c r="K89" s="11" t="s">
        <v>225</v>
      </c>
      <c r="L89" s="11"/>
      <c r="M89" s="11"/>
      <c r="N89" s="11"/>
      <c r="O89" s="11"/>
      <c r="P89" s="11"/>
      <c r="Q89" s="11"/>
      <c r="R89" s="6"/>
      <c r="S89" s="6"/>
      <c r="T89" s="13" t="s">
        <v>61</v>
      </c>
      <c r="U89" s="11" t="s">
        <v>62</v>
      </c>
      <c r="V89" s="11"/>
      <c r="W89" s="11"/>
      <c r="X89" s="11"/>
      <c r="Y89" s="11"/>
      <c r="Z89" s="11"/>
      <c r="AA89" s="11"/>
      <c r="AB89" s="11"/>
      <c r="AC89" s="11"/>
      <c r="AD89" s="11"/>
      <c r="AE89" s="14"/>
    </row>
    <row r="90" spans="1:31" ht="20">
      <c r="A90" s="15" t="s">
        <v>98</v>
      </c>
      <c r="B90" s="15" t="s">
        <v>226</v>
      </c>
      <c r="C90" s="15" t="s">
        <v>163</v>
      </c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</row>
    <row r="91" spans="1:31">
      <c r="A91" s="10" t="s">
        <v>58</v>
      </c>
      <c r="B91" s="11"/>
      <c r="C91" s="12" t="s">
        <v>227</v>
      </c>
      <c r="D91" s="11"/>
      <c r="E91" s="11"/>
      <c r="F91" s="11"/>
      <c r="G91" s="11"/>
      <c r="H91" s="11"/>
      <c r="I91" s="11" t="s">
        <v>59</v>
      </c>
      <c r="J91" s="11"/>
      <c r="K91" s="11" t="s">
        <v>228</v>
      </c>
      <c r="L91" s="11"/>
      <c r="M91" s="11"/>
      <c r="N91" s="11"/>
      <c r="O91" s="11"/>
      <c r="P91" s="11"/>
      <c r="Q91" s="11"/>
      <c r="R91" s="6"/>
      <c r="S91" s="6"/>
      <c r="T91" s="13" t="s">
        <v>61</v>
      </c>
      <c r="U91" s="11" t="s">
        <v>62</v>
      </c>
      <c r="V91" s="11"/>
      <c r="W91" s="11"/>
      <c r="X91" s="11"/>
      <c r="Y91" s="11"/>
      <c r="Z91" s="11"/>
      <c r="AA91" s="11"/>
      <c r="AB91" s="11"/>
      <c r="AC91" s="11"/>
      <c r="AD91" s="11"/>
      <c r="AE91" s="14"/>
    </row>
    <row r="92" spans="1:31" ht="20">
      <c r="A92" s="15" t="s">
        <v>229</v>
      </c>
      <c r="B92" s="15" t="s">
        <v>230</v>
      </c>
      <c r="C92" s="15" t="s">
        <v>231</v>
      </c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</row>
    <row r="93" spans="1:31">
      <c r="A93" s="10" t="s">
        <v>58</v>
      </c>
      <c r="B93" s="11"/>
      <c r="C93" s="12" t="s">
        <v>47</v>
      </c>
      <c r="D93" s="11"/>
      <c r="E93" s="11"/>
      <c r="F93" s="11"/>
      <c r="G93" s="11"/>
      <c r="H93" s="11"/>
      <c r="I93" s="11" t="s">
        <v>59</v>
      </c>
      <c r="J93" s="11"/>
      <c r="K93" s="11" t="s">
        <v>232</v>
      </c>
      <c r="L93" s="11"/>
      <c r="M93" s="11"/>
      <c r="N93" s="11"/>
      <c r="O93" s="11"/>
      <c r="P93" s="11"/>
      <c r="Q93" s="11"/>
      <c r="R93" s="6"/>
      <c r="S93" s="6"/>
      <c r="T93" s="13" t="s">
        <v>61</v>
      </c>
      <c r="U93" s="11" t="s">
        <v>62</v>
      </c>
      <c r="V93" s="11"/>
      <c r="W93" s="11"/>
      <c r="X93" s="11"/>
      <c r="Y93" s="11"/>
      <c r="Z93" s="11"/>
      <c r="AA93" s="11"/>
      <c r="AB93" s="11"/>
      <c r="AC93" s="11"/>
      <c r="AD93" s="11"/>
      <c r="AE93" s="14"/>
    </row>
    <row r="94" spans="1:31" ht="20">
      <c r="A94" s="15" t="s">
        <v>233</v>
      </c>
      <c r="B94" s="15" t="s">
        <v>234</v>
      </c>
      <c r="C94" s="15" t="s">
        <v>235</v>
      </c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</row>
    <row r="95" spans="1:31">
      <c r="A95" s="10" t="s">
        <v>58</v>
      </c>
      <c r="B95" s="11"/>
      <c r="C95" s="12" t="s">
        <v>236</v>
      </c>
      <c r="D95" s="11"/>
      <c r="E95" s="11"/>
      <c r="F95" s="11"/>
      <c r="G95" s="11"/>
      <c r="H95" s="11"/>
      <c r="I95" s="11" t="s">
        <v>59</v>
      </c>
      <c r="J95" s="11"/>
      <c r="K95" s="11" t="s">
        <v>237</v>
      </c>
      <c r="L95" s="11"/>
      <c r="M95" s="11"/>
      <c r="N95" s="11"/>
      <c r="O95" s="11"/>
      <c r="P95" s="11"/>
      <c r="Q95" s="11"/>
      <c r="R95" s="6"/>
      <c r="S95" s="6"/>
      <c r="T95" s="13" t="s">
        <v>61</v>
      </c>
      <c r="U95" s="11" t="s">
        <v>62</v>
      </c>
      <c r="V95" s="11"/>
      <c r="W95" s="11"/>
      <c r="X95" s="11"/>
      <c r="Y95" s="11"/>
      <c r="Z95" s="11"/>
      <c r="AA95" s="11"/>
      <c r="AB95" s="11"/>
      <c r="AC95" s="11"/>
      <c r="AD95" s="11"/>
      <c r="AE95" s="14"/>
    </row>
    <row r="96" spans="1:31" ht="20">
      <c r="A96" s="15" t="s">
        <v>238</v>
      </c>
      <c r="B96" s="15" t="s">
        <v>239</v>
      </c>
      <c r="C96" s="15" t="s">
        <v>240</v>
      </c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</row>
    <row r="97" spans="1:31">
      <c r="A97" s="10" t="s">
        <v>58</v>
      </c>
      <c r="B97" s="11"/>
      <c r="C97" s="12" t="s">
        <v>241</v>
      </c>
      <c r="D97" s="11"/>
      <c r="E97" s="11"/>
      <c r="F97" s="11"/>
      <c r="G97" s="11"/>
      <c r="H97" s="11"/>
      <c r="I97" s="11" t="s">
        <v>59</v>
      </c>
      <c r="J97" s="11"/>
      <c r="K97" s="11" t="s">
        <v>242</v>
      </c>
      <c r="L97" s="11"/>
      <c r="M97" s="11"/>
      <c r="N97" s="11"/>
      <c r="O97" s="11"/>
      <c r="P97" s="11"/>
      <c r="Q97" s="11"/>
      <c r="R97" s="6"/>
      <c r="S97" s="6"/>
      <c r="T97" s="13" t="s">
        <v>61</v>
      </c>
      <c r="U97" s="11" t="s">
        <v>62</v>
      </c>
      <c r="V97" s="11"/>
      <c r="W97" s="11"/>
      <c r="X97" s="11"/>
      <c r="Y97" s="11"/>
      <c r="Z97" s="11"/>
      <c r="AA97" s="11"/>
      <c r="AB97" s="11"/>
      <c r="AC97" s="11"/>
      <c r="AD97" s="11"/>
      <c r="AE97" s="14"/>
    </row>
    <row r="98" spans="1:31" ht="20">
      <c r="A98" s="15" t="s">
        <v>243</v>
      </c>
      <c r="B98" s="15" t="s">
        <v>244</v>
      </c>
      <c r="C98" s="15" t="s">
        <v>245</v>
      </c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</row>
    <row r="99" spans="1:31">
      <c r="A99" s="10" t="s">
        <v>58</v>
      </c>
      <c r="B99" s="11"/>
      <c r="C99" s="12" t="s">
        <v>246</v>
      </c>
      <c r="D99" s="11"/>
      <c r="E99" s="11"/>
      <c r="F99" s="11"/>
      <c r="G99" s="11"/>
      <c r="H99" s="11"/>
      <c r="I99" s="11" t="s">
        <v>59</v>
      </c>
      <c r="J99" s="11"/>
      <c r="K99" s="11" t="s">
        <v>247</v>
      </c>
      <c r="L99" s="11"/>
      <c r="M99" s="11"/>
      <c r="N99" s="11"/>
      <c r="O99" s="11"/>
      <c r="P99" s="11"/>
      <c r="Q99" s="11"/>
      <c r="R99" s="6"/>
      <c r="S99" s="6"/>
      <c r="T99" s="13" t="s">
        <v>61</v>
      </c>
      <c r="U99" s="11" t="s">
        <v>62</v>
      </c>
      <c r="V99" s="11"/>
      <c r="W99" s="11"/>
      <c r="X99" s="11"/>
      <c r="Y99" s="11"/>
      <c r="Z99" s="11"/>
      <c r="AA99" s="11"/>
      <c r="AB99" s="11"/>
      <c r="AC99" s="11"/>
      <c r="AD99" s="11"/>
      <c r="AE99" s="14"/>
    </row>
    <row r="100" spans="1:31" ht="30">
      <c r="A100" s="15" t="s">
        <v>248</v>
      </c>
      <c r="B100" s="15" t="s">
        <v>249</v>
      </c>
      <c r="C100" s="15" t="s">
        <v>250</v>
      </c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</row>
    <row r="101" spans="1:31">
      <c r="A101" s="10" t="s">
        <v>58</v>
      </c>
      <c r="B101" s="11"/>
      <c r="C101" s="12" t="s">
        <v>251</v>
      </c>
      <c r="D101" s="11"/>
      <c r="E101" s="11"/>
      <c r="F101" s="11"/>
      <c r="G101" s="11"/>
      <c r="H101" s="11"/>
      <c r="I101" s="11" t="s">
        <v>59</v>
      </c>
      <c r="J101" s="11"/>
      <c r="K101" s="11" t="s">
        <v>252</v>
      </c>
      <c r="L101" s="11"/>
      <c r="M101" s="11"/>
      <c r="N101" s="11"/>
      <c r="O101" s="11"/>
      <c r="P101" s="11"/>
      <c r="Q101" s="11"/>
      <c r="R101" s="6"/>
      <c r="S101" s="6"/>
      <c r="T101" s="13" t="s">
        <v>61</v>
      </c>
      <c r="U101" s="11" t="s">
        <v>62</v>
      </c>
      <c r="V101" s="11"/>
      <c r="W101" s="11"/>
      <c r="X101" s="11"/>
      <c r="Y101" s="11"/>
      <c r="Z101" s="11"/>
      <c r="AA101" s="11"/>
      <c r="AB101" s="11"/>
      <c r="AC101" s="11"/>
      <c r="AD101" s="11"/>
      <c r="AE101" s="14"/>
    </row>
    <row r="102" spans="1:31" ht="20">
      <c r="A102" s="15" t="s">
        <v>253</v>
      </c>
      <c r="B102" s="15" t="s">
        <v>254</v>
      </c>
      <c r="C102" s="15" t="s">
        <v>255</v>
      </c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</row>
    <row r="103" spans="1:31">
      <c r="A103" s="10" t="s">
        <v>58</v>
      </c>
      <c r="B103" s="11"/>
      <c r="C103" s="12" t="s">
        <v>256</v>
      </c>
      <c r="D103" s="11"/>
      <c r="E103" s="11"/>
      <c r="F103" s="11"/>
      <c r="G103" s="11"/>
      <c r="H103" s="11"/>
      <c r="I103" s="11" t="s">
        <v>59</v>
      </c>
      <c r="J103" s="11"/>
      <c r="K103" s="11" t="s">
        <v>257</v>
      </c>
      <c r="L103" s="11"/>
      <c r="M103" s="11"/>
      <c r="N103" s="11"/>
      <c r="O103" s="11"/>
      <c r="P103" s="11"/>
      <c r="Q103" s="11"/>
      <c r="R103" s="6"/>
      <c r="S103" s="6"/>
      <c r="T103" s="13" t="s">
        <v>61</v>
      </c>
      <c r="U103" s="11" t="s">
        <v>62</v>
      </c>
      <c r="V103" s="11"/>
      <c r="W103" s="11"/>
      <c r="X103" s="11"/>
      <c r="Y103" s="11"/>
      <c r="Z103" s="11"/>
      <c r="AA103" s="11"/>
      <c r="AB103" s="11"/>
      <c r="AC103" s="11"/>
      <c r="AD103" s="11"/>
      <c r="AE103" s="14"/>
    </row>
    <row r="104" spans="1:31" ht="20">
      <c r="A104" s="15"/>
      <c r="B104" s="15" t="s">
        <v>258</v>
      </c>
      <c r="C104" s="15" t="s">
        <v>259</v>
      </c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</row>
    <row r="105" spans="1:31">
      <c r="A105" s="10" t="s">
        <v>58</v>
      </c>
      <c r="B105" s="11"/>
      <c r="C105" s="12" t="s">
        <v>260</v>
      </c>
      <c r="D105" s="11"/>
      <c r="E105" s="11"/>
      <c r="F105" s="11"/>
      <c r="G105" s="11"/>
      <c r="H105" s="11"/>
      <c r="I105" s="11" t="s">
        <v>59</v>
      </c>
      <c r="J105" s="11"/>
      <c r="K105" s="11" t="s">
        <v>261</v>
      </c>
      <c r="L105" s="11"/>
      <c r="M105" s="11"/>
      <c r="N105" s="11"/>
      <c r="O105" s="11"/>
      <c r="P105" s="11"/>
      <c r="Q105" s="11"/>
      <c r="R105" s="6"/>
      <c r="S105" s="6"/>
      <c r="T105" s="13" t="s">
        <v>61</v>
      </c>
      <c r="U105" s="11" t="s">
        <v>62</v>
      </c>
      <c r="V105" s="11"/>
      <c r="W105" s="11"/>
      <c r="X105" s="11"/>
      <c r="Y105" s="11"/>
      <c r="Z105" s="11"/>
      <c r="AA105" s="11"/>
      <c r="AB105" s="11"/>
      <c r="AC105" s="11"/>
      <c r="AD105" s="11"/>
      <c r="AE105" s="14"/>
    </row>
    <row r="106" spans="1:3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</row>
    <row r="107" spans="1:31">
      <c r="A107" s="10" t="s">
        <v>58</v>
      </c>
      <c r="B107" s="11"/>
      <c r="C107" s="12" t="s">
        <v>262</v>
      </c>
      <c r="D107" s="11"/>
      <c r="E107" s="11"/>
      <c r="F107" s="11"/>
      <c r="G107" s="11"/>
      <c r="H107" s="11"/>
      <c r="I107" s="11" t="s">
        <v>59</v>
      </c>
      <c r="J107" s="11"/>
      <c r="K107" s="11" t="s">
        <v>263</v>
      </c>
      <c r="L107" s="11"/>
      <c r="M107" s="11"/>
      <c r="N107" s="11"/>
      <c r="O107" s="11"/>
      <c r="P107" s="11"/>
      <c r="Q107" s="11"/>
      <c r="R107" s="6"/>
      <c r="S107" s="6"/>
      <c r="T107" s="13" t="s">
        <v>61</v>
      </c>
      <c r="U107" s="11" t="s">
        <v>62</v>
      </c>
      <c r="V107" s="11"/>
      <c r="W107" s="11"/>
      <c r="X107" s="11"/>
      <c r="Y107" s="11"/>
      <c r="Z107" s="11"/>
      <c r="AA107" s="11"/>
      <c r="AB107" s="11"/>
      <c r="AC107" s="11"/>
      <c r="AD107" s="11"/>
      <c r="AE107" s="14"/>
    </row>
    <row r="108" spans="1:31" ht="30">
      <c r="A108" s="15" t="s">
        <v>264</v>
      </c>
      <c r="B108" s="15" t="s">
        <v>265</v>
      </c>
      <c r="C108" s="15" t="s">
        <v>266</v>
      </c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</row>
    <row r="109" spans="1:31">
      <c r="A109" s="10" t="s">
        <v>58</v>
      </c>
      <c r="B109" s="11"/>
      <c r="C109" s="12" t="s">
        <v>267</v>
      </c>
      <c r="D109" s="11"/>
      <c r="E109" s="11"/>
      <c r="F109" s="11"/>
      <c r="G109" s="11"/>
      <c r="H109" s="11"/>
      <c r="I109" s="11" t="s">
        <v>59</v>
      </c>
      <c r="J109" s="11"/>
      <c r="K109" s="11" t="s">
        <v>268</v>
      </c>
      <c r="L109" s="11"/>
      <c r="M109" s="11"/>
      <c r="N109" s="11"/>
      <c r="O109" s="11"/>
      <c r="P109" s="11"/>
      <c r="Q109" s="11"/>
      <c r="R109" s="6"/>
      <c r="S109" s="6"/>
      <c r="T109" s="13" t="s">
        <v>61</v>
      </c>
      <c r="U109" s="11" t="s">
        <v>62</v>
      </c>
      <c r="V109" s="11"/>
      <c r="W109" s="11"/>
      <c r="X109" s="11"/>
      <c r="Y109" s="11"/>
      <c r="Z109" s="11"/>
      <c r="AA109" s="11"/>
      <c r="AB109" s="11"/>
      <c r="AC109" s="11"/>
      <c r="AD109" s="11"/>
      <c r="AE109" s="14"/>
    </row>
    <row r="110" spans="1:31" ht="20">
      <c r="A110" s="15" t="s">
        <v>269</v>
      </c>
      <c r="B110" s="15" t="s">
        <v>270</v>
      </c>
      <c r="C110" s="15" t="s">
        <v>129</v>
      </c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</row>
    <row r="111" spans="1:31">
      <c r="A111" s="10" t="s">
        <v>58</v>
      </c>
      <c r="B111" s="11"/>
      <c r="C111" s="12" t="s">
        <v>271</v>
      </c>
      <c r="D111" s="11"/>
      <c r="E111" s="11"/>
      <c r="F111" s="11"/>
      <c r="G111" s="11"/>
      <c r="H111" s="11"/>
      <c r="I111" s="11" t="s">
        <v>59</v>
      </c>
      <c r="J111" s="11"/>
      <c r="K111" s="11" t="s">
        <v>272</v>
      </c>
      <c r="L111" s="11"/>
      <c r="M111" s="11"/>
      <c r="N111" s="11"/>
      <c r="O111" s="11"/>
      <c r="P111" s="11"/>
      <c r="Q111" s="11"/>
      <c r="R111" s="6"/>
      <c r="S111" s="6"/>
      <c r="T111" s="13" t="s">
        <v>61</v>
      </c>
      <c r="U111" s="11" t="s">
        <v>62</v>
      </c>
      <c r="V111" s="11"/>
      <c r="W111" s="11"/>
      <c r="X111" s="11"/>
      <c r="Y111" s="11"/>
      <c r="Z111" s="11"/>
      <c r="AA111" s="11"/>
      <c r="AB111" s="11"/>
      <c r="AC111" s="11"/>
      <c r="AD111" s="11"/>
      <c r="AE111" s="14"/>
    </row>
    <row r="112" spans="1:31" ht="40">
      <c r="A112" s="15" t="s">
        <v>273</v>
      </c>
      <c r="B112" s="15" t="s">
        <v>274</v>
      </c>
      <c r="C112" s="15" t="s">
        <v>275</v>
      </c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</row>
    <row r="113" spans="1:31">
      <c r="A113" s="10" t="s">
        <v>58</v>
      </c>
      <c r="B113" s="11"/>
      <c r="C113" s="12" t="s">
        <v>276</v>
      </c>
      <c r="D113" s="11"/>
      <c r="E113" s="11"/>
      <c r="F113" s="11"/>
      <c r="G113" s="11"/>
      <c r="H113" s="11"/>
      <c r="I113" s="11" t="s">
        <v>59</v>
      </c>
      <c r="J113" s="11"/>
      <c r="K113" s="11" t="s">
        <v>277</v>
      </c>
      <c r="L113" s="11"/>
      <c r="M113" s="11"/>
      <c r="N113" s="11"/>
      <c r="O113" s="11"/>
      <c r="P113" s="11"/>
      <c r="Q113" s="11"/>
      <c r="R113" s="6"/>
      <c r="S113" s="6"/>
      <c r="T113" s="13" t="s">
        <v>61</v>
      </c>
      <c r="U113" s="11" t="s">
        <v>62</v>
      </c>
      <c r="V113" s="11"/>
      <c r="W113" s="11"/>
      <c r="X113" s="11"/>
      <c r="Y113" s="11"/>
      <c r="Z113" s="11"/>
      <c r="AA113" s="11"/>
      <c r="AB113" s="11"/>
      <c r="AC113" s="11"/>
      <c r="AD113" s="11"/>
      <c r="AE113" s="14"/>
    </row>
    <row r="114" spans="1:3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</row>
    <row r="115" spans="1:31">
      <c r="A115" s="10" t="s">
        <v>58</v>
      </c>
      <c r="B115" s="11"/>
      <c r="C115" s="12" t="s">
        <v>278</v>
      </c>
      <c r="D115" s="11"/>
      <c r="E115" s="11"/>
      <c r="F115" s="11"/>
      <c r="G115" s="11"/>
      <c r="H115" s="11"/>
      <c r="I115" s="11" t="s">
        <v>59</v>
      </c>
      <c r="J115" s="11"/>
      <c r="K115" s="11" t="s">
        <v>279</v>
      </c>
      <c r="L115" s="11"/>
      <c r="M115" s="11"/>
      <c r="N115" s="11"/>
      <c r="O115" s="11"/>
      <c r="P115" s="11"/>
      <c r="Q115" s="11"/>
      <c r="R115" s="6"/>
      <c r="S115" s="6"/>
      <c r="T115" s="13" t="s">
        <v>61</v>
      </c>
      <c r="U115" s="11" t="s">
        <v>62</v>
      </c>
      <c r="V115" s="11"/>
      <c r="W115" s="11"/>
      <c r="X115" s="11"/>
      <c r="Y115" s="11"/>
      <c r="Z115" s="11"/>
      <c r="AA115" s="11"/>
      <c r="AB115" s="11"/>
      <c r="AC115" s="11"/>
      <c r="AD115" s="11"/>
      <c r="AE115" s="14"/>
    </row>
    <row r="116" spans="1:31" ht="20">
      <c r="A116" s="15" t="s">
        <v>280</v>
      </c>
      <c r="B116" s="15" t="s">
        <v>281</v>
      </c>
      <c r="C116" s="15" t="s">
        <v>282</v>
      </c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</row>
    <row r="117" spans="1:31">
      <c r="A117" s="10" t="s">
        <v>58</v>
      </c>
      <c r="B117" s="11"/>
      <c r="C117" s="12" t="s">
        <v>283</v>
      </c>
      <c r="D117" s="11"/>
      <c r="E117" s="11"/>
      <c r="F117" s="11"/>
      <c r="G117" s="11"/>
      <c r="H117" s="11"/>
      <c r="I117" s="11" t="s">
        <v>59</v>
      </c>
      <c r="J117" s="11"/>
      <c r="K117" s="11" t="s">
        <v>284</v>
      </c>
      <c r="L117" s="11"/>
      <c r="M117" s="11"/>
      <c r="N117" s="11"/>
      <c r="O117" s="11"/>
      <c r="P117" s="11"/>
      <c r="Q117" s="11"/>
      <c r="R117" s="6"/>
      <c r="S117" s="6"/>
      <c r="T117" s="13" t="s">
        <v>61</v>
      </c>
      <c r="U117" s="11" t="s">
        <v>62</v>
      </c>
      <c r="V117" s="11"/>
      <c r="W117" s="11"/>
      <c r="X117" s="11"/>
      <c r="Y117" s="11"/>
      <c r="Z117" s="11"/>
      <c r="AA117" s="11"/>
      <c r="AB117" s="11"/>
      <c r="AC117" s="11"/>
      <c r="AD117" s="11"/>
      <c r="AE117" s="14"/>
    </row>
    <row r="118" spans="1:31" ht="20">
      <c r="A118" s="15" t="s">
        <v>285</v>
      </c>
      <c r="B118" s="15" t="s">
        <v>253</v>
      </c>
      <c r="C118" s="15" t="s">
        <v>282</v>
      </c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</row>
    <row r="119" spans="1:31">
      <c r="A119" s="10" t="s">
        <v>58</v>
      </c>
      <c r="B119" s="11"/>
      <c r="C119" s="12" t="s">
        <v>286</v>
      </c>
      <c r="D119" s="11"/>
      <c r="E119" s="11"/>
      <c r="F119" s="11"/>
      <c r="G119" s="11"/>
      <c r="H119" s="11"/>
      <c r="I119" s="11" t="s">
        <v>59</v>
      </c>
      <c r="J119" s="11"/>
      <c r="K119" s="11" t="s">
        <v>287</v>
      </c>
      <c r="L119" s="11"/>
      <c r="M119" s="11"/>
      <c r="N119" s="11"/>
      <c r="O119" s="11"/>
      <c r="P119" s="11"/>
      <c r="Q119" s="11"/>
      <c r="R119" s="6"/>
      <c r="S119" s="6"/>
      <c r="T119" s="13" t="s">
        <v>61</v>
      </c>
      <c r="U119" s="11" t="s">
        <v>62</v>
      </c>
      <c r="V119" s="11"/>
      <c r="W119" s="11"/>
      <c r="X119" s="11"/>
      <c r="Y119" s="11"/>
      <c r="Z119" s="11"/>
      <c r="AA119" s="11"/>
      <c r="AB119" s="11"/>
      <c r="AC119" s="11"/>
      <c r="AD119" s="11"/>
      <c r="AE119" s="14"/>
    </row>
    <row r="120" spans="1:31" ht="30">
      <c r="A120" s="15" t="s">
        <v>288</v>
      </c>
      <c r="B120" s="15" t="s">
        <v>289</v>
      </c>
      <c r="C120" s="15" t="s">
        <v>290</v>
      </c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</row>
    <row r="121" spans="1:31">
      <c r="A121" s="10" t="s">
        <v>58</v>
      </c>
      <c r="B121" s="11"/>
      <c r="C121" s="12" t="s">
        <v>291</v>
      </c>
      <c r="D121" s="11"/>
      <c r="E121" s="11"/>
      <c r="F121" s="11"/>
      <c r="G121" s="11"/>
      <c r="H121" s="11"/>
      <c r="I121" s="11" t="s">
        <v>59</v>
      </c>
      <c r="J121" s="11"/>
      <c r="K121" s="11" t="s">
        <v>292</v>
      </c>
      <c r="L121" s="11"/>
      <c r="M121" s="11"/>
      <c r="N121" s="11"/>
      <c r="O121" s="11"/>
      <c r="P121" s="11"/>
      <c r="Q121" s="11"/>
      <c r="R121" s="6"/>
      <c r="S121" s="6"/>
      <c r="T121" s="13" t="s">
        <v>61</v>
      </c>
      <c r="U121" s="11" t="s">
        <v>62</v>
      </c>
      <c r="V121" s="11"/>
      <c r="W121" s="11"/>
      <c r="X121" s="11"/>
      <c r="Y121" s="11"/>
      <c r="Z121" s="11"/>
      <c r="AA121" s="11"/>
      <c r="AB121" s="11"/>
      <c r="AC121" s="11"/>
      <c r="AD121" s="11"/>
      <c r="AE121" s="14"/>
    </row>
    <row r="122" spans="1:31" ht="30">
      <c r="A122" s="15" t="s">
        <v>293</v>
      </c>
      <c r="B122" s="15" t="s">
        <v>269</v>
      </c>
      <c r="C122" s="15" t="s">
        <v>294</v>
      </c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</row>
    <row r="123" spans="1:31">
      <c r="A123" s="10" t="s">
        <v>58</v>
      </c>
      <c r="B123" s="11"/>
      <c r="C123" s="12" t="s">
        <v>295</v>
      </c>
      <c r="D123" s="11"/>
      <c r="E123" s="11"/>
      <c r="F123" s="11"/>
      <c r="G123" s="11"/>
      <c r="H123" s="11"/>
      <c r="I123" s="11" t="s">
        <v>59</v>
      </c>
      <c r="J123" s="11"/>
      <c r="K123" s="11" t="s">
        <v>296</v>
      </c>
      <c r="L123" s="11"/>
      <c r="M123" s="11"/>
      <c r="N123" s="11"/>
      <c r="O123" s="11"/>
      <c r="P123" s="11"/>
      <c r="Q123" s="11"/>
      <c r="R123" s="6"/>
      <c r="S123" s="6"/>
      <c r="T123" s="13" t="s">
        <v>61</v>
      </c>
      <c r="U123" s="11" t="s">
        <v>62</v>
      </c>
      <c r="V123" s="11"/>
      <c r="W123" s="11"/>
      <c r="X123" s="11"/>
      <c r="Y123" s="11"/>
      <c r="Z123" s="11"/>
      <c r="AA123" s="11"/>
      <c r="AB123" s="11"/>
      <c r="AC123" s="11"/>
      <c r="AD123" s="11"/>
      <c r="AE123" s="14"/>
    </row>
    <row r="124" spans="1:31" ht="30">
      <c r="A124" s="15" t="s">
        <v>297</v>
      </c>
      <c r="B124" s="15" t="s">
        <v>298</v>
      </c>
      <c r="C124" s="15" t="s">
        <v>299</v>
      </c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</row>
    <row r="125" spans="1:31">
      <c r="A125" s="10" t="s">
        <v>58</v>
      </c>
      <c r="B125" s="11"/>
      <c r="C125" s="12" t="s">
        <v>300</v>
      </c>
      <c r="D125" s="11"/>
      <c r="E125" s="11"/>
      <c r="F125" s="11"/>
      <c r="G125" s="11"/>
      <c r="H125" s="11"/>
      <c r="I125" s="11" t="s">
        <v>59</v>
      </c>
      <c r="J125" s="11"/>
      <c r="K125" s="11" t="s">
        <v>301</v>
      </c>
      <c r="L125" s="11"/>
      <c r="M125" s="11"/>
      <c r="N125" s="11"/>
      <c r="O125" s="11"/>
      <c r="P125" s="11"/>
      <c r="Q125" s="11"/>
      <c r="R125" s="6"/>
      <c r="S125" s="6"/>
      <c r="T125" s="13" t="s">
        <v>61</v>
      </c>
      <c r="U125" s="11" t="s">
        <v>62</v>
      </c>
      <c r="V125" s="11"/>
      <c r="W125" s="11"/>
      <c r="X125" s="11"/>
      <c r="Y125" s="11"/>
      <c r="Z125" s="11"/>
      <c r="AA125" s="11"/>
      <c r="AB125" s="11"/>
      <c r="AC125" s="11"/>
      <c r="AD125" s="11"/>
      <c r="AE125" s="14"/>
    </row>
    <row r="126" spans="1:31" ht="20">
      <c r="A126" s="15" t="s">
        <v>302</v>
      </c>
      <c r="B126" s="15" t="s">
        <v>303</v>
      </c>
      <c r="C126" s="15" t="s">
        <v>304</v>
      </c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</row>
    <row r="127" spans="1:31">
      <c r="A127" s="10" t="s">
        <v>58</v>
      </c>
      <c r="B127" s="11"/>
      <c r="C127" s="12" t="s">
        <v>305</v>
      </c>
      <c r="D127" s="11"/>
      <c r="E127" s="11"/>
      <c r="F127" s="11"/>
      <c r="G127" s="11"/>
      <c r="H127" s="11"/>
      <c r="I127" s="11" t="s">
        <v>59</v>
      </c>
      <c r="J127" s="11"/>
      <c r="K127" s="11" t="s">
        <v>306</v>
      </c>
      <c r="L127" s="11"/>
      <c r="M127" s="11"/>
      <c r="N127" s="11"/>
      <c r="O127" s="11"/>
      <c r="P127" s="11"/>
      <c r="Q127" s="11"/>
      <c r="R127" s="6"/>
      <c r="S127" s="6"/>
      <c r="T127" s="13" t="s">
        <v>61</v>
      </c>
      <c r="U127" s="11" t="s">
        <v>62</v>
      </c>
      <c r="V127" s="11"/>
      <c r="W127" s="11"/>
      <c r="X127" s="11"/>
      <c r="Y127" s="11"/>
      <c r="Z127" s="11"/>
      <c r="AA127" s="11"/>
      <c r="AB127" s="11"/>
      <c r="AC127" s="11"/>
      <c r="AD127" s="11"/>
      <c r="AE127" s="14"/>
    </row>
    <row r="128" spans="1:31" ht="20">
      <c r="A128" s="15" t="s">
        <v>307</v>
      </c>
      <c r="B128" s="15" t="s">
        <v>308</v>
      </c>
      <c r="C128" s="15" t="s">
        <v>309</v>
      </c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</row>
    <row r="129" spans="1:31">
      <c r="A129" s="10" t="s">
        <v>58</v>
      </c>
      <c r="B129" s="11"/>
      <c r="C129" s="12" t="s">
        <v>310</v>
      </c>
      <c r="D129" s="11"/>
      <c r="E129" s="11"/>
      <c r="F129" s="11"/>
      <c r="G129" s="11"/>
      <c r="H129" s="11"/>
      <c r="I129" s="11" t="s">
        <v>59</v>
      </c>
      <c r="J129" s="11"/>
      <c r="K129" s="11" t="s">
        <v>311</v>
      </c>
      <c r="L129" s="11"/>
      <c r="M129" s="11"/>
      <c r="N129" s="11"/>
      <c r="O129" s="11"/>
      <c r="P129" s="11"/>
      <c r="Q129" s="11"/>
      <c r="R129" s="6"/>
      <c r="S129" s="6"/>
      <c r="T129" s="13" t="s">
        <v>61</v>
      </c>
      <c r="U129" s="11" t="s">
        <v>62</v>
      </c>
      <c r="V129" s="11"/>
      <c r="W129" s="11"/>
      <c r="X129" s="11"/>
      <c r="Y129" s="11"/>
      <c r="Z129" s="11"/>
      <c r="AA129" s="11"/>
      <c r="AB129" s="11"/>
      <c r="AC129" s="11"/>
      <c r="AD129" s="11"/>
      <c r="AE129" s="14"/>
    </row>
    <row r="130" spans="1:31" ht="20">
      <c r="A130" s="15" t="s">
        <v>312</v>
      </c>
      <c r="B130" s="15" t="s">
        <v>313</v>
      </c>
      <c r="C130" s="15" t="s">
        <v>314</v>
      </c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</row>
  </sheetData>
  <mergeCells count="2">
    <mergeCell ref="A1:AE2"/>
    <mergeCell ref="Y3:AE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7EA356-AE74-4122-AD04-AAE2F3C35E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Jadwal</vt:lpstr>
      <vt:lpstr>Personal</vt:lpstr>
      <vt:lpstr>RecordAbsen</vt:lpstr>
      <vt:lpstr>Bulan</vt:lpstr>
      <vt:lpstr>HariAktif</vt:lpstr>
      <vt:lpstr>Sampel RecordAbsen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yuli</dc:creator>
  <cp:lastModifiedBy>dey nab</cp:lastModifiedBy>
  <cp:lastPrinted>2021-10-25T06:41:54Z</cp:lastPrinted>
  <dcterms:created xsi:type="dcterms:W3CDTF">2019-09-13T02:47:31Z</dcterms:created>
  <dcterms:modified xsi:type="dcterms:W3CDTF">2024-06-22T03:37:53Z</dcterms:modified>
</cp:coreProperties>
</file>